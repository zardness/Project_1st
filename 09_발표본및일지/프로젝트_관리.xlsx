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86f745c0c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간트" sheetId="1" r:id="R14df580b14f34261"/>
    <x:sheet xmlns:r="http://schemas.openxmlformats.org/officeDocument/2006/relationships" name="업무대장" sheetId="2" r:id="R2943579094944bbc"/>
    <x:sheet xmlns:r="http://schemas.openxmlformats.org/officeDocument/2006/relationships" name="검증지표" sheetId="3" r:id="Re07a32a9fde7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mm/dd"/>
    <x:numFmt numFmtId="202" formatCode="0.0%"/>
    <x:numFmt numFmtId="203" formatCode="m/d"/>
    <x:numFmt numFmtId="204" formatCode="0.000"/>
    <x:numFmt numFmtId="205" formatCode="#,##0"/>
    <x:numFmt numFmtId="206" formatCode="#,##0.0"/>
  </x:numFmts>
  <x:fonts count="7">
    <x:font>
      <x:sz val="11"/>
      <x:name val="Carlito"/>
    </x:font>
    <x:font>
      <x:sz val="10"/>
      <x:color rgb="FF243B36"/>
      <x:name val="Arial"/>
    </x:font>
    <x:font>
      <x:b/>
      <x:sz val="16"/>
      <x:color rgb="FF445664"/>
      <x:name val="Arial"/>
    </x:font>
    <x:font>
      <x:sz val="10"/>
      <x:color rgb="FF447D64"/>
      <x:name val="Arial"/>
    </x:font>
    <x:font>
      <x:b/>
      <x:sz val="10"/>
      <x:color rgb="FFFFFFFF"/>
      <x:name val="Arial"/>
    </x:font>
    <x:font>
      <x:sz val="11"/>
      <x:color rgb="FF447D64"/>
      <x:name val="Arial"/>
    </x:font>
    <x:font>
      <x:b/>
      <x:sz val="10"/>
      <x:color rgb="FF243B36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445664"/>
      </x:patternFill>
    </x:fill>
    <x:fill>
      <x:patternFill patternType="solid">
        <x:fgColor rgb="FFFFFBEC"/>
      </x:patternFill>
    </x:fill>
    <x:fill>
      <x:patternFill patternType="solid">
        <x:fgColor rgb="FFE3DDF6"/>
      </x:patternFill>
    </x:fill>
    <x:fill>
      <x:patternFill patternType="solid">
        <x:fgColor rgb="FFFFF0B3"/>
      </x:patternFill>
    </x:fill>
    <x:fill>
      <x:patternFill patternType="solid">
        <x:fgColor rgb="FFFFD9CA"/>
      </x:patternFill>
    </x:fill>
    <x:fill>
      <x:patternFill patternType="solid">
        <x:fgColor rgb="FFCCE5F7"/>
      </x:patternFill>
    </x:fill>
    <x:fill>
      <x:patternFill patternType="solid">
        <x:fgColor rgb="FFDEECC4"/>
      </x:patternFill>
    </x:fill>
    <x:fill>
      <x:patternFill patternType="solid">
        <x:fgColor rgb="FFFFFFFF"/>
      </x:patternFill>
    </x:fill>
    <x:fill>
      <x:patternFill patternType="solid">
        <x:fgColor rgb="FF38FFA5"/>
      </x:patternFill>
    </x:fill>
    <x:fill>
      <x:patternFill patternType="solid">
        <x:fgColor rgb="FF447D64"/>
      </x:patternFill>
    </x:fill>
    <x:fill>
      <x:patternFill patternType="solid">
        <x:fgColor rgb="FF2FE290"/>
      </x:patternFill>
    </x:fill>
    <x:fill>
      <x:patternFill patternType="solid">
        <x:fgColor rgb="FFFFF4D6"/>
      </x:patternFill>
    </x:fill>
  </x:fills>
  <x:borders count="7">
    <x:border/>
    <x:border>
      <x:top style="medium">
        <x:color rgb="FF447D64"/>
      </x:top>
    </x:border>
    <x:border>
      <x:right style="thin">
        <x:color rgb="FFE3EBE7"/>
      </x:right>
      <x:bottom style="thin">
        <x:color rgb="FFEFF3F1"/>
      </x:bottom>
    </x:border>
    <x:border>
      <x:left style="thin">
        <x:color rgb="FFE3EBE7"/>
      </x:left>
      <x:right style="thin">
        <x:color rgb="FFE3EBE7"/>
      </x:right>
      <x:bottom style="thin">
        <x:color rgb="FFEFF3F1"/>
      </x:bottom>
    </x:border>
    <x:border>
      <x:left style="thin">
        <x:color rgb="FFE3EBE7"/>
      </x:left>
      <x:bottom style="thin">
        <x:color rgb="FFEFF3F1"/>
      </x:bottom>
    </x:border>
    <x:border>
      <x:left style="medium">
        <x:color rgb="FF445664"/>
      </x:left>
      <x:right style="medium">
        <x:color rgb="FF445664"/>
      </x:right>
    </x:border>
    <x:border>
      <x:left style="medium">
        <x:color rgb="FF445664"/>
      </x:left>
      <x:right style="medium">
        <x:color rgb="FF445664"/>
      </x:right>
      <x:bottom style="thin">
        <x:color rgb="FFEFF3F1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202" fontId="6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horizontal="center" vertical="center"/>
    </x:xf>
    <x:xf numFmtId="202" fontId="6" fillId="1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 wrapText="1"/>
    </x:xf>
    <x:xf numFmtId="203" fontId="4" fillId="2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203" fontId="4" fillId="2" borderId="5" xfId="0" applyNumberFormat="1" applyFont="1" applyFill="1" applyBorder="1" applyAlignment="1">
      <x:alignment horizontal="center" vertical="center" wrapText="1"/>
    </x:xf>
    <x:xf numFmtId="0" fontId="4" fillId="11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203" fontId="4" fillId="12" borderId="5" xfId="0" applyNumberFormat="1" applyFont="1" applyFill="1" applyBorder="1" applyAlignment="1">
      <x:alignment horizontal="center" vertical="center" wrapText="1"/>
    </x:xf>
    <x:xf numFmtId="203" fontId="6" fillId="12" borderId="5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1" fontId="1" fillId="13" borderId="0" xfId="0" applyNumberFormat="1" applyFont="1" applyFill="1" applyBorder="1" applyAlignment="1">
      <x:alignment vertical="center" wrapText="1"/>
    </x:xf>
    <x:xf numFmtId="204" fontId="1" fillId="1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8">
    <x:dxf>
      <x:font>
        <x:b/>
        <x:color rgb="FF215E3D"/>
      </x:font>
      <x:fill>
        <x:patternFill patternType="solid">
          <x:bgColor rgb="FFD6F8E4"/>
        </x:patternFill>
      </x:fill>
    </x:dxf>
    <x:dxf>
      <x:font>
        <x:color rgb="FF924727"/>
      </x:font>
      <x:fill>
        <x:patternFill patternType="solid">
          <x:bgColor rgb="FFFCE4D9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color rgb="FF243B36"/>
      </x:font>
      <x:fill>
        <x:patternFill patternType="solid">
          <x:bgColor rgb="FFFFF0B3"/>
        </x:patternFill>
      </x:fill>
    </x:dxf>
    <x:dxf>
      <x:font>
        <x:color rgb="FF243B36"/>
      </x:font>
      <x:fill>
        <x:patternFill patternType="solid">
          <x:bgColor rgb="FFFFD9CA"/>
        </x:patternFill>
      </x:fill>
    </x:dxf>
    <x:dxf>
      <x:font>
        <x:color rgb="FF243B36"/>
      </x:font>
      <x:fill>
        <x:patternFill patternType="solid">
          <x:bgColor rgb="FFCCE5F7"/>
        </x:patternFill>
      </x:fill>
    </x:dxf>
    <x:dxf>
      <x:font>
        <x:color rgb="FF243B36"/>
      </x:font>
      <x:fill>
        <x:patternFill patternType="solid">
          <x:bgColor rgb="FFDEECC4"/>
        </x:patternFill>
      </x:fill>
    </x:dxf>
    <x:dxf>
      <x:font>
        <x:color rgb="FF243B36"/>
      </x:font>
      <x:fill>
        <x:patternFill patternType="solid">
          <x:bgColor rgb="FFE3DDF6"/>
        </x:patternFill>
      </x:fill>
    </x:dxf>
    <x:dxf>
      <x:fill>
        <x:patternFill patternType="solid">
          <x:bgColor rgb="FFFFF0B3"/>
        </x:patternFill>
      </x:fill>
    </x:dxf>
    <x:dxf>
      <x:fill>
        <x:patternFill patternType="solid">
          <x:bgColor rgb="FFFFD9CA"/>
        </x:patternFill>
      </x:fill>
    </x:dxf>
    <x:dxf>
      <x:fill>
        <x:patternFill patternType="solid">
          <x:bgColor rgb="FFCCE5F7"/>
        </x:patternFill>
      </x:fill>
    </x:dxf>
    <x:dxf>
      <x:fill>
        <x:patternFill patternType="solid">
          <x:bgColor rgb="FFDEECC4"/>
        </x:patternFill>
      </x:fill>
    </x:dxf>
    <x:dxf>
      <x:fill>
        <x:patternFill patternType="solid">
          <x:bgColor rgb="FFE3DDF6"/>
        </x:patternFill>
      </x:fill>
    </x:dxf>
    <x:dxf>
      <x:font>
        <x:b/>
        <x:color rgb="FF215E3D"/>
      </x:font>
      <x:fill>
        <x:patternFill patternType="solid">
          <x:bgColor rgb="FFD6F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e23a2255a4984" /><Relationship Type="http://schemas.openxmlformats.org/officeDocument/2006/relationships/theme" Target="/xl/theme/theme1.xml" Id="R684643c8ab604d9d" /><Relationship Type="http://schemas.openxmlformats.org/officeDocument/2006/relationships/sharedStrings" Target="/xl/sharedStrings.xml" Id="R6657c71237d845c9" /><Relationship Type="http://schemas.openxmlformats.org/officeDocument/2006/relationships/worksheet" Target="/xl/worksheets/sheet1.xml" Id="R14df580b14f34261" /><Relationship Type="http://schemas.openxmlformats.org/officeDocument/2006/relationships/worksheet" Target="/xl/worksheets/sheet2.xml" Id="R2943579094944bbc" /><Relationship Type="http://schemas.openxmlformats.org/officeDocument/2006/relationships/worksheet" Target="/xl/worksheets/sheet3.xml" Id="Re07a32a9fde7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5664"/>
  </x:sheetPr>
  <x:sheetViews>
    <x:sheetView showGridLines="0" workbookViewId="0">
      <x:pane xSplit="5" ySplit="11" topLeftCell="F12" activePane="bottomRight" state="frozen"/>
    </x:sheetView>
  </x:sheetViews>
  <x:sheetFormatPr defaultRowHeight="15"/>
  <x:cols>
    <x:col min="1" max="1" width="5.880000114440918" hidden="0" customWidth="1"/>
    <x:col min="2" max="2" width="11.630000114440918" hidden="0" customWidth="1"/>
    <x:col min="3" max="3" width="34" hidden="0" customWidth="1"/>
    <x:col min="4" max="4" width="7.130000114440918" hidden="0" customWidth="1"/>
    <x:col min="5" max="5" width="20" hidden="0" customWidth="1"/>
    <x:col min="6" max="6" width="6.130000114440918" hidden="0" customWidth="1"/>
    <x:col min="7" max="7" width="6.130000114440918" hidden="0" customWidth="1"/>
    <x:col min="8" max="8" width="6.130000114440918" hidden="0" customWidth="1"/>
    <x:col min="9" max="9" width="6.130000114440918" hidden="0" customWidth="1"/>
    <x:col min="10" max="10" width="6.130000114440918" hidden="0" customWidth="1"/>
    <x:col min="11" max="11" width="6.130000114440918" hidden="0" customWidth="1"/>
    <x:col min="12" max="12" width="6.130000114440918" hidden="0" customWidth="1"/>
    <x:col min="13" max="13" width="6.130000114440918" hidden="0" customWidth="1"/>
    <x:col min="14" max="14" width="6.130000114440918" hidden="0" customWidth="1"/>
    <x:col min="15" max="15" width="6.130000114440918" hidden="0" customWidth="1"/>
    <x:col min="16" max="16" width="6.130000114440918" hidden="0" customWidth="1"/>
    <x:col min="17" max="17" width="6.130000114440918" hidden="0" customWidth="1"/>
    <x:col min="18" max="18" width="6.130000114440918" hidden="0" customWidth="1"/>
    <x:col min="19" max="19" width="6.130000114440918" hidden="0" customWidth="1"/>
    <x:col min="20" max="20" width="6.130000114440918" hidden="0" customWidth="1"/>
    <x:col min="21" max="21" width="6.130000114440918" hidden="0" customWidth="1"/>
    <x:col min="22" max="22" width="6.130000114440918" hidden="0" customWidth="1"/>
    <x:col min="23" max="23" width="6.130000114440918" hidden="0" customWidth="1"/>
    <x:col min="24" max="24" width="6.130000114440918" hidden="0" customWidth="1"/>
    <x:col min="25" max="25" width="6.1300001144409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30" customHeight="1">
      <x:c r="A2" s="3" t="str">
        <x:v>3조 따릉이 프로젝트 일정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3" ht="27" customHeight="1">
      <x:c r="A3" s="29" t="str">
        <x:v>서울시 공공자전거 빅데이터를 활용한 대여소별 수급 불균형 예측 및 자전거 재배치 의사결정 지원 시스템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</x:row>
    <x:row r="4" ht="23" customHeight="1">
      <x:c r="A4" s="2" t="str">
        <x:v>기준일</x:v>
      </x:c>
      <x:c r="B4" s="4" t="n">
        <x:f>'업무대장'!B4</x:f>
        <x:v>46301</x:v>
      </x:c>
      <x:c r="C4" s="2"/>
      <x:c r="D4" s="2" t="str">
        <x:v>기간</x:v>
      </x:c>
      <x:c r="E4" s="37" t="n">
        <x:f>'업무대장'!E4</x:f>
        <x:v>46288</x:v>
      </x:c>
      <x:c r="F4" s="2" t="str">
        <x:v>종료</x:v>
      </x:c>
      <x:c r="G4" s="37" t="n">
        <x:f>'업무대장'!H4</x:f>
        <x:v>46307</x:v>
      </x:c>
      <x:c r="H4" s="2"/>
      <x:c r="I4" s="2" t="str">
        <x:v>업무대장의 상태·일정 변경 시 아래 간트와 완료율이 갱신됩니다.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ht="30" customHeight="1">
      <x:c r="A6" s="33" t="str">
        <x:v>완료 업무</x:v>
      </x:c>
      <x:c r="B6" s="33"/>
      <x:c r="C6" s="33"/>
      <x:c r="D6" s="35" t="n">
        <x:f>COUNTIFS('업무대장'!$I$10:$I$33,"완료")</x:f>
        <x:v>4</x:v>
      </x:c>
      <x:c r="E6" s="33" t="str">
        <x:v>작성/팀검토대기</x:v>
      </x:c>
      <x:c r="F6" s="33"/>
      <x:c r="G6" s="33"/>
      <x:c r="H6" s="35" t="n">
        <x:f>COUNTIFS('업무대장'!$I$10:$I$33,"작성/팀검토대기")</x:f>
        <x:v>2</x:v>
      </x:c>
      <x:c r="I6" s="33" t="str">
        <x:v>전체 업무</x:v>
      </x:c>
      <x:c r="J6" s="33"/>
      <x:c r="K6" s="33"/>
      <x:c r="L6" s="35" t="n">
        <x:f>COUNTA('업무대장'!$A$10:$A$33)</x:f>
        <x:v>24</x:v>
      </x:c>
      <x:c r="M6" s="33" t="str">
        <x:v>실제 완료율</x:v>
      </x:c>
      <x:c r="N6" s="33"/>
      <x:c r="O6" s="33"/>
      <x:c r="P6" s="36" t="n">
        <x:f>D6/L6</x:f>
        <x:v>0.16666666666666666</x:v>
      </x:c>
      <x:c r="Q6" s="33" t="str">
        <x:v>완료 상태만 계산 / 날짜 경과와 무관</x:v>
      </x:c>
      <x:c r="R6" s="33"/>
      <x:c r="S6" s="33"/>
      <x:c r="T6" s="33"/>
      <x:c r="U6" s="33"/>
      <x:c r="V6" s="33"/>
      <x:c r="W6" s="33"/>
      <x:c r="X6" s="33"/>
      <x:c r="Y6" s="33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ht="28" customHeight="1">
      <x:c r="A8" s="39" t="str">
        <x:v>DA 김다예나 · 기상</x:v>
      </x:c>
      <x:c r="B8" s="39"/>
      <x:c r="C8" s="39"/>
      <x:c r="D8" s="39"/>
      <x:c r="E8" s="39"/>
      <x:c r="F8" s="41" t="str">
        <x:v>RA 나경원 · 대여·반납</x:v>
      </x:c>
      <x:c r="G8" s="41"/>
      <x:c r="H8" s="41"/>
      <x:c r="I8" s="41"/>
      <x:c r="J8" s="41"/>
      <x:c r="K8" s="43" t="str">
        <x:v>PA 박상혁 · 시간대 이용</x:v>
      </x:c>
      <x:c r="L8" s="43"/>
      <x:c r="M8" s="43"/>
      <x:c r="N8" s="43"/>
      <x:c r="O8" s="43"/>
      <x:c r="P8" s="45" t="str">
        <x:v>HJ 배혜진 · 가용수량·발표 웹</x:v>
      </x:c>
      <x:c r="Q8" s="45"/>
      <x:c r="R8" s="45"/>
      <x:c r="S8" s="45"/>
      <x:c r="T8" s="45"/>
      <x:c r="U8" s="47" t="str">
        <x:v>All 공동작업</x:v>
      </x:c>
      <x:c r="V8" s="47"/>
      <x:c r="W8" s="47"/>
      <x:c r="X8" s="47"/>
      <x:c r="Y8" s="47"/>
    </x:row>
    <x:row r="9" ht="23" customHeight="1">
      <x:c r="A9" s="5" t="str">
        <x:v>색상은 담당자, 막대는 기록·계획 기간입니다. 완료 여부는 상태 열을 확인하세요. 10/6 기준일은 진한 세로선으로 표시했습니다.</x:v>
      </x:c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ht="29" customHeight="1">
      <x:c r="A11" s="9" t="str">
        <x:v>ID</x:v>
      </x:c>
      <x:c r="B11" s="9" t="str">
        <x:v>단계</x:v>
      </x:c>
      <x:c r="C11" s="9" t="str">
        <x:v>업무</x:v>
      </x:c>
      <x:c r="D11" s="9" t="str">
        <x:v>담당</x:v>
      </x:c>
      <x:c r="E11" s="9" t="str">
        <x:v>상태</x:v>
      </x:c>
      <x:c r="F11" s="52" t="n">
        <x:f>'업무대장'!$E$4</x:f>
        <x:v>46288</x:v>
      </x:c>
      <x:c r="G11" s="52" t="n">
        <x:f>F11+1</x:f>
        <x:v>46289</x:v>
      </x:c>
      <x:c r="H11" s="52" t="n">
        <x:f>G11+1</x:f>
        <x:v>46290</x:v>
      </x:c>
      <x:c r="I11" s="52" t="n">
        <x:f>H11+1</x:f>
        <x:v>46291</x:v>
      </x:c>
      <x:c r="J11" s="52" t="n">
        <x:f>I11+1</x:f>
        <x:v>46292</x:v>
      </x:c>
      <x:c r="K11" s="52" t="n">
        <x:f>J11+1</x:f>
        <x:v>46293</x:v>
      </x:c>
      <x:c r="L11" s="52" t="n">
        <x:f>K11+1</x:f>
        <x:v>46294</x:v>
      </x:c>
      <x:c r="M11" s="52" t="n">
        <x:f>L11+1</x:f>
        <x:v>46295</x:v>
      </x:c>
      <x:c r="N11" s="52" t="n">
        <x:f>M11+1</x:f>
        <x:v>46296</x:v>
      </x:c>
      <x:c r="O11" s="52" t="n">
        <x:f>N11+1</x:f>
        <x:v>46297</x:v>
      </x:c>
      <x:c r="P11" s="52" t="n">
        <x:f>O11+1</x:f>
        <x:v>46298</x:v>
      </x:c>
      <x:c r="Q11" s="52" t="n">
        <x:f>P11+1</x:f>
        <x:v>46299</x:v>
      </x:c>
      <x:c r="R11" s="52" t="n">
        <x:f>Q11+1</x:f>
        <x:v>46300</x:v>
      </x:c>
      <x:c r="S11" s="64" t="n">
        <x:f>R11+1</x:f>
        <x:v>46301</x:v>
      </x:c>
      <x:c r="T11" s="52" t="n">
        <x:f>S11+1</x:f>
        <x:v>46302</x:v>
      </x:c>
      <x:c r="U11" s="52" t="n">
        <x:f>T11+1</x:f>
        <x:v>46303</x:v>
      </x:c>
      <x:c r="V11" s="52" t="n">
        <x:f>U11+1</x:f>
        <x:v>46304</x:v>
      </x:c>
      <x:c r="W11" s="52" t="n">
        <x:f>V11+1</x:f>
        <x:v>46305</x:v>
      </x:c>
      <x:c r="X11" s="52" t="n">
        <x:f>W11+1</x:f>
        <x:v>46306</x:v>
      </x:c>
      <x:c r="Y11" s="52" t="n">
        <x:f>X11+1</x:f>
        <x:v>46307</x:v>
      </x:c>
    </x:row>
    <x:row r="12" ht="24" customHeight="1">
      <x:c r="A12" s="54" t="str">
        <x:v>기획</x:v>
      </x:c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60"/>
      <x:c r="T12" s="54"/>
      <x:c r="U12" s="54"/>
      <x:c r="V12" s="54"/>
      <x:c r="W12" s="54"/>
      <x:c r="X12" s="54"/>
      <x:c r="Y12" s="54"/>
    </x:row>
    <x:row r="13" ht="29" customHeight="1">
      <x:c r="A13" s="2" t="str">
        <x:f>'업무대장'!A10</x:f>
        <x:v>T01</x:v>
      </x:c>
      <x:c r="B13" s="2" t="str">
        <x:f>'업무대장'!B10</x:f>
        <x:v>기획</x:v>
      </x:c>
      <x:c r="C13" s="2" t="str">
        <x:f>'업무대장'!C10</x:f>
        <x:v>주제와 목표 정리</x:v>
      </x:c>
      <x:c r="D13" s="55" t="str">
        <x:f>'업무대장'!D10</x:f>
        <x:v>All</x:v>
      </x:c>
      <x:c r="E13" s="55" t="str">
        <x:f>'업무대장'!I10</x:f>
        <x:v>확인필요</x:v>
      </x:c>
      <x:c r="F13" s="56" t="str">
        <x:f>IF(AND(F$11&gt;='업무대장'!$G10,F$11&lt;='업무대장'!$H10),$D13,"")</x:f>
        <x:v>All</x:v>
      </x:c>
      <x:c r="G13" s="57" t="str">
        <x:f>IF(AND(G$11&gt;='업무대장'!$G10,G$11&lt;='업무대장'!$H10),$D13,"")</x:f>
      </x:c>
      <x:c r="H13" s="57" t="str">
        <x:f>IF(AND(H$11&gt;='업무대장'!$G10,H$11&lt;='업무대장'!$H10),$D13,"")</x:f>
      </x:c>
      <x:c r="I13" s="57" t="str">
        <x:f>IF(AND(I$11&gt;='업무대장'!$G10,I$11&lt;='업무대장'!$H10),$D13,"")</x:f>
      </x:c>
      <x:c r="J13" s="57" t="str">
        <x:f>IF(AND(J$11&gt;='업무대장'!$G10,J$11&lt;='업무대장'!$H10),$D13,"")</x:f>
      </x:c>
      <x:c r="K13" s="57" t="str">
        <x:f>IF(AND(K$11&gt;='업무대장'!$G10,K$11&lt;='업무대장'!$H10),$D13,"")</x:f>
      </x:c>
      <x:c r="L13" s="57" t="str">
        <x:f>IF(AND(L$11&gt;='업무대장'!$G10,L$11&lt;='업무대장'!$H10),$D13,"")</x:f>
      </x:c>
      <x:c r="M13" s="57" t="str">
        <x:f>IF(AND(M$11&gt;='업무대장'!$G10,M$11&lt;='업무대장'!$H10),$D13,"")</x:f>
      </x:c>
      <x:c r="N13" s="57" t="str">
        <x:f>IF(AND(N$11&gt;='업무대장'!$G10,N$11&lt;='업무대장'!$H10),$D13,"")</x:f>
      </x:c>
      <x:c r="O13" s="57" t="str">
        <x:f>IF(AND(O$11&gt;='업무대장'!$G10,O$11&lt;='업무대장'!$H10),$D13,"")</x:f>
      </x:c>
      <x:c r="P13" s="57" t="str">
        <x:f>IF(AND(P$11&gt;='업무대장'!$G10,P$11&lt;='업무대장'!$H10),$D13,"")</x:f>
      </x:c>
      <x:c r="Q13" s="57" t="str">
        <x:f>IF(AND(Q$11&gt;='업무대장'!$G10,Q$11&lt;='업무대장'!$H10),$D13,"")</x:f>
      </x:c>
      <x:c r="R13" s="57" t="str">
        <x:f>IF(AND(R$11&gt;='업무대장'!$G10,R$11&lt;='업무대장'!$H10),$D13,"")</x:f>
      </x:c>
      <x:c r="S13" s="61" t="str">
        <x:f>IF(AND(S$11&gt;='업무대장'!$G10,S$11&lt;='업무대장'!$H10),$D13,"")</x:f>
      </x:c>
      <x:c r="T13" s="57" t="str">
        <x:f>IF(AND(T$11&gt;='업무대장'!$G10,T$11&lt;='업무대장'!$H10),$D13,"")</x:f>
      </x:c>
      <x:c r="U13" s="57" t="str">
        <x:f>IF(AND(U$11&gt;='업무대장'!$G10,U$11&lt;='업무대장'!$H10),$D13,"")</x:f>
      </x:c>
      <x:c r="V13" s="57" t="str">
        <x:f>IF(AND(V$11&gt;='업무대장'!$G10,V$11&lt;='업무대장'!$H10),$D13,"")</x:f>
      </x:c>
      <x:c r="W13" s="57" t="str">
        <x:f>IF(AND(W$11&gt;='업무대장'!$G10,W$11&lt;='업무대장'!$H10),$D13,"")</x:f>
      </x:c>
      <x:c r="X13" s="57" t="str">
        <x:f>IF(AND(X$11&gt;='업무대장'!$G10,X$11&lt;='업무대장'!$H10),$D13,"")</x:f>
      </x:c>
      <x:c r="Y13" s="58" t="str">
        <x:f>IF(AND(Y$11&gt;='업무대장'!$G10,Y$11&lt;='업무대장'!$H10),$D13,"")</x:f>
      </x:c>
    </x:row>
    <x:row r="14" ht="29" customHeight="1">
      <x:c r="A14" s="2" t="str">
        <x:f>'업무대장'!A11</x:f>
        <x:v>T02</x:v>
      </x:c>
      <x:c r="B14" s="2" t="str">
        <x:f>'업무대장'!B11</x:f>
        <x:v>기획</x:v>
      </x:c>
      <x:c r="C14" s="2" t="str">
        <x:f>'업무대장'!C11</x:f>
        <x:v>예측 단위·입력 feature 협의</x:v>
      </x:c>
      <x:c r="D14" s="55" t="str">
        <x:f>'업무대장'!D11</x:f>
        <x:v>All</x:v>
      </x:c>
      <x:c r="E14" s="55" t="str">
        <x:f>'업무대장'!I11</x:f>
        <x:v>확인필요</x:v>
      </x:c>
      <x:c r="F14" s="56" t="str">
        <x:f>IF(AND(F$11&gt;='업무대장'!$G11,F$11&lt;='업무대장'!$H11),$D14,"")</x:f>
        <x:v>All</x:v>
      </x:c>
      <x:c r="G14" s="57" t="str">
        <x:f>IF(AND(G$11&gt;='업무대장'!$G11,G$11&lt;='업무대장'!$H11),$D14,"")</x:f>
        <x:v>All</x:v>
      </x:c>
      <x:c r="H14" s="57" t="str">
        <x:f>IF(AND(H$11&gt;='업무대장'!$G11,H$11&lt;='업무대장'!$H11),$D14,"")</x:f>
      </x:c>
      <x:c r="I14" s="57" t="str">
        <x:f>IF(AND(I$11&gt;='업무대장'!$G11,I$11&lt;='업무대장'!$H11),$D14,"")</x:f>
      </x:c>
      <x:c r="J14" s="57" t="str">
        <x:f>IF(AND(J$11&gt;='업무대장'!$G11,J$11&lt;='업무대장'!$H11),$D14,"")</x:f>
      </x:c>
      <x:c r="K14" s="57" t="str">
        <x:f>IF(AND(K$11&gt;='업무대장'!$G11,K$11&lt;='업무대장'!$H11),$D14,"")</x:f>
      </x:c>
      <x:c r="L14" s="57" t="str">
        <x:f>IF(AND(L$11&gt;='업무대장'!$G11,L$11&lt;='업무대장'!$H11),$D14,"")</x:f>
      </x:c>
      <x:c r="M14" s="57" t="str">
        <x:f>IF(AND(M$11&gt;='업무대장'!$G11,M$11&lt;='업무대장'!$H11),$D14,"")</x:f>
      </x:c>
      <x:c r="N14" s="57" t="str">
        <x:f>IF(AND(N$11&gt;='업무대장'!$G11,N$11&lt;='업무대장'!$H11),$D14,"")</x:f>
      </x:c>
      <x:c r="O14" s="57" t="str">
        <x:f>IF(AND(O$11&gt;='업무대장'!$G11,O$11&lt;='업무대장'!$H11),$D14,"")</x:f>
      </x:c>
      <x:c r="P14" s="57" t="str">
        <x:f>IF(AND(P$11&gt;='업무대장'!$G11,P$11&lt;='업무대장'!$H11),$D14,"")</x:f>
      </x:c>
      <x:c r="Q14" s="57" t="str">
        <x:f>IF(AND(Q$11&gt;='업무대장'!$G11,Q$11&lt;='업무대장'!$H11),$D14,"")</x:f>
      </x:c>
      <x:c r="R14" s="57" t="str">
        <x:f>IF(AND(R$11&gt;='업무대장'!$G11,R$11&lt;='업무대장'!$H11),$D14,"")</x:f>
      </x:c>
      <x:c r="S14" s="61" t="str">
        <x:f>IF(AND(S$11&gt;='업무대장'!$G11,S$11&lt;='업무대장'!$H11),$D14,"")</x:f>
      </x:c>
      <x:c r="T14" s="57" t="str">
        <x:f>IF(AND(T$11&gt;='업무대장'!$G11,T$11&lt;='업무대장'!$H11),$D14,"")</x:f>
      </x:c>
      <x:c r="U14" s="57" t="str">
        <x:f>IF(AND(U$11&gt;='업무대장'!$G11,U$11&lt;='업무대장'!$H11),$D14,"")</x:f>
      </x:c>
      <x:c r="V14" s="57" t="str">
        <x:f>IF(AND(V$11&gt;='업무대장'!$G11,V$11&lt;='업무대장'!$H11),$D14,"")</x:f>
      </x:c>
      <x:c r="W14" s="57" t="str">
        <x:f>IF(AND(W$11&gt;='업무대장'!$G11,W$11&lt;='업무대장'!$H11),$D14,"")</x:f>
      </x:c>
      <x:c r="X14" s="57" t="str">
        <x:f>IF(AND(X$11&gt;='업무대장'!$G11,X$11&lt;='업무대장'!$H11),$D14,"")</x:f>
      </x:c>
      <x:c r="Y14" s="58" t="str">
        <x:f>IF(AND(Y$11&gt;='업무대장'!$G11,Y$11&lt;='업무대장'!$H11),$D14,"")</x:f>
      </x:c>
    </x:row>
    <x:row r="15" ht="24" customHeight="1">
      <x:c r="A15" s="54" t="str">
        <x:v>수집·정리</x:v>
      </x:c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60"/>
      <x:c r="T15" s="54"/>
      <x:c r="U15" s="54"/>
      <x:c r="V15" s="54"/>
      <x:c r="W15" s="54"/>
      <x:c r="X15" s="54"/>
      <x:c r="Y15" s="54"/>
    </x:row>
    <x:row r="16" ht="29" customHeight="1">
      <x:c r="A16" s="2" t="str">
        <x:f>'업무대장'!A12</x:f>
        <x:v>T03</x:v>
      </x:c>
      <x:c r="B16" s="2" t="str">
        <x:f>'업무대장'!B12</x:f>
        <x:v>수집·정리</x:v>
      </x:c>
      <x:c r="C16" s="2" t="str">
        <x:f>'업무대장'!C12</x:f>
        <x:v>기상 데이터 수집·정리</x:v>
      </x:c>
      <x:c r="D16" s="55" t="str">
        <x:f>'업무대장'!D12</x:f>
        <x:v>DA</x:v>
      </x:c>
      <x:c r="E16" s="55" t="str">
        <x:f>'업무대장'!I12</x:f>
        <x:v>확인필요</x:v>
      </x:c>
      <x:c r="F16" s="56" t="str">
        <x:f>IF(AND(F$11&gt;='업무대장'!$G12,F$11&lt;='업무대장'!$H12),$D16,"")</x:f>
        <x:v>DA</x:v>
      </x:c>
      <x:c r="G16" s="57" t="str">
        <x:f>IF(AND(G$11&gt;='업무대장'!$G12,G$11&lt;='업무대장'!$H12),$D16,"")</x:f>
        <x:v>DA</x:v>
      </x:c>
      <x:c r="H16" s="57" t="str">
        <x:f>IF(AND(H$11&gt;='업무대장'!$G12,H$11&lt;='업무대장'!$H12),$D16,"")</x:f>
        <x:v>DA</x:v>
      </x:c>
      <x:c r="I16" s="57" t="str">
        <x:f>IF(AND(I$11&gt;='업무대장'!$G12,I$11&lt;='업무대장'!$H12),$D16,"")</x:f>
        <x:v>DA</x:v>
      </x:c>
      <x:c r="J16" s="57" t="str">
        <x:f>IF(AND(J$11&gt;='업무대장'!$G12,J$11&lt;='업무대장'!$H12),$D16,"")</x:f>
        <x:v>DA</x:v>
      </x:c>
      <x:c r="K16" s="57" t="str">
        <x:f>IF(AND(K$11&gt;='업무대장'!$G12,K$11&lt;='업무대장'!$H12),$D16,"")</x:f>
        <x:v>DA</x:v>
      </x:c>
      <x:c r="L16" s="57" t="str">
        <x:f>IF(AND(L$11&gt;='업무대장'!$G12,L$11&lt;='업무대장'!$H12),$D16,"")</x:f>
        <x:v>DA</x:v>
      </x:c>
      <x:c r="M16" s="57" t="str">
        <x:f>IF(AND(M$11&gt;='업무대장'!$G12,M$11&lt;='업무대장'!$H12),$D16,"")</x:f>
        <x:v>DA</x:v>
      </x:c>
      <x:c r="N16" s="57" t="str">
        <x:f>IF(AND(N$11&gt;='업무대장'!$G12,N$11&lt;='업무대장'!$H12),$D16,"")</x:f>
      </x:c>
      <x:c r="O16" s="57" t="str">
        <x:f>IF(AND(O$11&gt;='업무대장'!$G12,O$11&lt;='업무대장'!$H12),$D16,"")</x:f>
      </x:c>
      <x:c r="P16" s="57" t="str">
        <x:f>IF(AND(P$11&gt;='업무대장'!$G12,P$11&lt;='업무대장'!$H12),$D16,"")</x:f>
      </x:c>
      <x:c r="Q16" s="57" t="str">
        <x:f>IF(AND(Q$11&gt;='업무대장'!$G12,Q$11&lt;='업무대장'!$H12),$D16,"")</x:f>
      </x:c>
      <x:c r="R16" s="57" t="str">
        <x:f>IF(AND(R$11&gt;='업무대장'!$G12,R$11&lt;='업무대장'!$H12),$D16,"")</x:f>
      </x:c>
      <x:c r="S16" s="61" t="str">
        <x:f>IF(AND(S$11&gt;='업무대장'!$G12,S$11&lt;='업무대장'!$H12),$D16,"")</x:f>
      </x:c>
      <x:c r="T16" s="57" t="str">
        <x:f>IF(AND(T$11&gt;='업무대장'!$G12,T$11&lt;='업무대장'!$H12),$D16,"")</x:f>
      </x:c>
      <x:c r="U16" s="57" t="str">
        <x:f>IF(AND(U$11&gt;='업무대장'!$G12,U$11&lt;='업무대장'!$H12),$D16,"")</x:f>
      </x:c>
      <x:c r="V16" s="57" t="str">
        <x:f>IF(AND(V$11&gt;='업무대장'!$G12,V$11&lt;='업무대장'!$H12),$D16,"")</x:f>
      </x:c>
      <x:c r="W16" s="57" t="str">
        <x:f>IF(AND(W$11&gt;='업무대장'!$G12,W$11&lt;='업무대장'!$H12),$D16,"")</x:f>
      </x:c>
      <x:c r="X16" s="57" t="str">
        <x:f>IF(AND(X$11&gt;='업무대장'!$G12,X$11&lt;='업무대장'!$H12),$D16,"")</x:f>
      </x:c>
      <x:c r="Y16" s="58" t="str">
        <x:f>IF(AND(Y$11&gt;='업무대장'!$G12,Y$11&lt;='업무대장'!$H12),$D16,"")</x:f>
      </x:c>
    </x:row>
    <x:row r="17" ht="29" customHeight="1">
      <x:c r="A17" s="2" t="str">
        <x:f>'업무대장'!A13</x:f>
        <x:v>T04</x:v>
      </x:c>
      <x:c r="B17" s="2" t="str">
        <x:f>'업무대장'!B13</x:f>
        <x:v>수집·정리</x:v>
      </x:c>
      <x:c r="C17" s="2" t="str">
        <x:f>'업무대장'!C13</x:f>
        <x:v>대여·반납 이력 수집·정리</x:v>
      </x:c>
      <x:c r="D17" s="55" t="str">
        <x:f>'업무대장'!D13</x:f>
        <x:v>RA</x:v>
      </x:c>
      <x:c r="E17" s="55" t="str">
        <x:f>'업무대장'!I13</x:f>
        <x:v>확인필요</x:v>
      </x:c>
      <x:c r="F17" s="56" t="str">
        <x:f>IF(AND(F$11&gt;='업무대장'!$G13,F$11&lt;='업무대장'!$H13),$D17,"")</x:f>
        <x:v>RA</x:v>
      </x:c>
      <x:c r="G17" s="57" t="str">
        <x:f>IF(AND(G$11&gt;='업무대장'!$G13,G$11&lt;='업무대장'!$H13),$D17,"")</x:f>
        <x:v>RA</x:v>
      </x:c>
      <x:c r="H17" s="57" t="str">
        <x:f>IF(AND(H$11&gt;='업무대장'!$G13,H$11&lt;='업무대장'!$H13),$D17,"")</x:f>
        <x:v>RA</x:v>
      </x:c>
      <x:c r="I17" s="57" t="str">
        <x:f>IF(AND(I$11&gt;='업무대장'!$G13,I$11&lt;='업무대장'!$H13),$D17,"")</x:f>
        <x:v>RA</x:v>
      </x:c>
      <x:c r="J17" s="57" t="str">
        <x:f>IF(AND(J$11&gt;='업무대장'!$G13,J$11&lt;='업무대장'!$H13),$D17,"")</x:f>
        <x:v>RA</x:v>
      </x:c>
      <x:c r="K17" s="57" t="str">
        <x:f>IF(AND(K$11&gt;='업무대장'!$G13,K$11&lt;='업무대장'!$H13),$D17,"")</x:f>
        <x:v>RA</x:v>
      </x:c>
      <x:c r="L17" s="57" t="str">
        <x:f>IF(AND(L$11&gt;='업무대장'!$G13,L$11&lt;='업무대장'!$H13),$D17,"")</x:f>
        <x:v>RA</x:v>
      </x:c>
      <x:c r="M17" s="57" t="str">
        <x:f>IF(AND(M$11&gt;='업무대장'!$G13,M$11&lt;='업무대장'!$H13),$D17,"")</x:f>
        <x:v>RA</x:v>
      </x:c>
      <x:c r="N17" s="57" t="str">
        <x:f>IF(AND(N$11&gt;='업무대장'!$G13,N$11&lt;='업무대장'!$H13),$D17,"")</x:f>
      </x:c>
      <x:c r="O17" s="57" t="str">
        <x:f>IF(AND(O$11&gt;='업무대장'!$G13,O$11&lt;='업무대장'!$H13),$D17,"")</x:f>
      </x:c>
      <x:c r="P17" s="57" t="str">
        <x:f>IF(AND(P$11&gt;='업무대장'!$G13,P$11&lt;='업무대장'!$H13),$D17,"")</x:f>
      </x:c>
      <x:c r="Q17" s="57" t="str">
        <x:f>IF(AND(Q$11&gt;='업무대장'!$G13,Q$11&lt;='업무대장'!$H13),$D17,"")</x:f>
      </x:c>
      <x:c r="R17" s="57" t="str">
        <x:f>IF(AND(R$11&gt;='업무대장'!$G13,R$11&lt;='업무대장'!$H13),$D17,"")</x:f>
      </x:c>
      <x:c r="S17" s="61" t="str">
        <x:f>IF(AND(S$11&gt;='업무대장'!$G13,S$11&lt;='업무대장'!$H13),$D17,"")</x:f>
      </x:c>
      <x:c r="T17" s="57" t="str">
        <x:f>IF(AND(T$11&gt;='업무대장'!$G13,T$11&lt;='업무대장'!$H13),$D17,"")</x:f>
      </x:c>
      <x:c r="U17" s="57" t="str">
        <x:f>IF(AND(U$11&gt;='업무대장'!$G13,U$11&lt;='업무대장'!$H13),$D17,"")</x:f>
      </x:c>
      <x:c r="V17" s="57" t="str">
        <x:f>IF(AND(V$11&gt;='업무대장'!$G13,V$11&lt;='업무대장'!$H13),$D17,"")</x:f>
      </x:c>
      <x:c r="W17" s="57" t="str">
        <x:f>IF(AND(W$11&gt;='업무대장'!$G13,W$11&lt;='업무대장'!$H13),$D17,"")</x:f>
      </x:c>
      <x:c r="X17" s="57" t="str">
        <x:f>IF(AND(X$11&gt;='업무대장'!$G13,X$11&lt;='업무대장'!$H13),$D17,"")</x:f>
      </x:c>
      <x:c r="Y17" s="58" t="str">
        <x:f>IF(AND(Y$11&gt;='업무대장'!$G13,Y$11&lt;='업무대장'!$H13),$D17,"")</x:f>
      </x:c>
    </x:row>
    <x:row r="18" ht="29" customHeight="1">
      <x:c r="A18" s="2" t="str">
        <x:f>'업무대장'!A14</x:f>
        <x:v>T05</x:v>
      </x:c>
      <x:c r="B18" s="2" t="str">
        <x:f>'업무대장'!B14</x:f>
        <x:v>수집·정리</x:v>
      </x:c>
      <x:c r="C18" s="2" t="str">
        <x:f>'업무대장'!C14</x:f>
        <x:v>시간대별 이용정보 수집·정리</x:v>
      </x:c>
      <x:c r="D18" s="55" t="str">
        <x:f>'업무대장'!D14</x:f>
        <x:v>PA</x:v>
      </x:c>
      <x:c r="E18" s="55" t="str">
        <x:f>'업무대장'!I14</x:f>
        <x:v>확인필요</x:v>
      </x:c>
      <x:c r="F18" s="56" t="str">
        <x:f>IF(AND(F$11&gt;='업무대장'!$G14,F$11&lt;='업무대장'!$H14),$D18,"")</x:f>
        <x:v>PA</x:v>
      </x:c>
      <x:c r="G18" s="57" t="str">
        <x:f>IF(AND(G$11&gt;='업무대장'!$G14,G$11&lt;='업무대장'!$H14),$D18,"")</x:f>
        <x:v>PA</x:v>
      </x:c>
      <x:c r="H18" s="57" t="str">
        <x:f>IF(AND(H$11&gt;='업무대장'!$G14,H$11&lt;='업무대장'!$H14),$D18,"")</x:f>
        <x:v>PA</x:v>
      </x:c>
      <x:c r="I18" s="57" t="str">
        <x:f>IF(AND(I$11&gt;='업무대장'!$G14,I$11&lt;='업무대장'!$H14),$D18,"")</x:f>
        <x:v>PA</x:v>
      </x:c>
      <x:c r="J18" s="57" t="str">
        <x:f>IF(AND(J$11&gt;='업무대장'!$G14,J$11&lt;='업무대장'!$H14),$D18,"")</x:f>
        <x:v>PA</x:v>
      </x:c>
      <x:c r="K18" s="57" t="str">
        <x:f>IF(AND(K$11&gt;='업무대장'!$G14,K$11&lt;='업무대장'!$H14),$D18,"")</x:f>
        <x:v>PA</x:v>
      </x:c>
      <x:c r="L18" s="57" t="str">
        <x:f>IF(AND(L$11&gt;='업무대장'!$G14,L$11&lt;='업무대장'!$H14),$D18,"")</x:f>
        <x:v>PA</x:v>
      </x:c>
      <x:c r="M18" s="57" t="str">
        <x:f>IF(AND(M$11&gt;='업무대장'!$G14,M$11&lt;='업무대장'!$H14),$D18,"")</x:f>
        <x:v>PA</x:v>
      </x:c>
      <x:c r="N18" s="57" t="str">
        <x:f>IF(AND(N$11&gt;='업무대장'!$G14,N$11&lt;='업무대장'!$H14),$D18,"")</x:f>
      </x:c>
      <x:c r="O18" s="57" t="str">
        <x:f>IF(AND(O$11&gt;='업무대장'!$G14,O$11&lt;='업무대장'!$H14),$D18,"")</x:f>
      </x:c>
      <x:c r="P18" s="57" t="str">
        <x:f>IF(AND(P$11&gt;='업무대장'!$G14,P$11&lt;='업무대장'!$H14),$D18,"")</x:f>
      </x:c>
      <x:c r="Q18" s="57" t="str">
        <x:f>IF(AND(Q$11&gt;='업무대장'!$G14,Q$11&lt;='업무대장'!$H14),$D18,"")</x:f>
      </x:c>
      <x:c r="R18" s="57" t="str">
        <x:f>IF(AND(R$11&gt;='업무대장'!$G14,R$11&lt;='업무대장'!$H14),$D18,"")</x:f>
      </x:c>
      <x:c r="S18" s="61" t="str">
        <x:f>IF(AND(S$11&gt;='업무대장'!$G14,S$11&lt;='업무대장'!$H14),$D18,"")</x:f>
      </x:c>
      <x:c r="T18" s="57" t="str">
        <x:f>IF(AND(T$11&gt;='업무대장'!$G14,T$11&lt;='업무대장'!$H14),$D18,"")</x:f>
      </x:c>
      <x:c r="U18" s="57" t="str">
        <x:f>IF(AND(U$11&gt;='업무대장'!$G14,U$11&lt;='업무대장'!$H14),$D18,"")</x:f>
      </x:c>
      <x:c r="V18" s="57" t="str">
        <x:f>IF(AND(V$11&gt;='업무대장'!$G14,V$11&lt;='업무대장'!$H14),$D18,"")</x:f>
      </x:c>
      <x:c r="W18" s="57" t="str">
        <x:f>IF(AND(W$11&gt;='업무대장'!$G14,W$11&lt;='업무대장'!$H14),$D18,"")</x:f>
      </x:c>
      <x:c r="X18" s="57" t="str">
        <x:f>IF(AND(X$11&gt;='업무대장'!$G14,X$11&lt;='업무대장'!$H14),$D18,"")</x:f>
      </x:c>
      <x:c r="Y18" s="58" t="str">
        <x:f>IF(AND(Y$11&gt;='업무대장'!$G14,Y$11&lt;='업무대장'!$H14),$D18,"")</x:f>
      </x:c>
    </x:row>
    <x:row r="19" ht="29" customHeight="1">
      <x:c r="A19" s="2" t="str">
        <x:f>'업무대장'!A15</x:f>
        <x:v>T06</x:v>
      </x:c>
      <x:c r="B19" s="2" t="str">
        <x:f>'업무대장'!B15</x:f>
        <x:v>수집·정리</x:v>
      </x:c>
      <x:c r="C19" s="2" t="str">
        <x:f>'업무대장'!C15</x:f>
        <x:v>가용수량 2021~2025 전처리</x:v>
      </x:c>
      <x:c r="D19" s="55" t="str">
        <x:f>'업무대장'!D15</x:f>
        <x:v>HJ</x:v>
      </x:c>
      <x:c r="E19" s="55" t="str">
        <x:f>'업무대장'!I15</x:f>
        <x:v>완료</x:v>
      </x:c>
      <x:c r="F19" s="56" t="str">
        <x:f>IF(AND(F$11&gt;='업무대장'!$G15,F$11&lt;='업무대장'!$H15),$D19,"")</x:f>
      </x:c>
      <x:c r="G19" s="57" t="str">
        <x:f>IF(AND(G$11&gt;='업무대장'!$G15,G$11&lt;='업무대장'!$H15),$D19,"")</x:f>
      </x:c>
      <x:c r="H19" s="57" t="str">
        <x:f>IF(AND(H$11&gt;='업무대장'!$G15,H$11&lt;='업무대장'!$H15),$D19,"")</x:f>
      </x:c>
      <x:c r="I19" s="57" t="str">
        <x:f>IF(AND(I$11&gt;='업무대장'!$G15,I$11&lt;='업무대장'!$H15),$D19,"")</x:f>
      </x:c>
      <x:c r="J19" s="57" t="str">
        <x:f>IF(AND(J$11&gt;='업무대장'!$G15,J$11&lt;='업무대장'!$H15),$D19,"")</x:f>
      </x:c>
      <x:c r="K19" s="57" t="str">
        <x:f>IF(AND(K$11&gt;='업무대장'!$G15,K$11&lt;='업무대장'!$H15),$D19,"")</x:f>
      </x:c>
      <x:c r="L19" s="57" t="str">
        <x:f>IF(AND(L$11&gt;='업무대장'!$G15,L$11&lt;='업무대장'!$H15),$D19,"")</x:f>
      </x:c>
      <x:c r="M19" s="57" t="str">
        <x:f>IF(AND(M$11&gt;='업무대장'!$G15,M$11&lt;='업무대장'!$H15),$D19,"")</x:f>
        <x:v>HJ</x:v>
      </x:c>
      <x:c r="N19" s="57" t="str">
        <x:f>IF(AND(N$11&gt;='업무대장'!$G15,N$11&lt;='업무대장'!$H15),$D19,"")</x:f>
      </x:c>
      <x:c r="O19" s="57" t="str">
        <x:f>IF(AND(O$11&gt;='업무대장'!$G15,O$11&lt;='업무대장'!$H15),$D19,"")</x:f>
      </x:c>
      <x:c r="P19" s="57" t="str">
        <x:f>IF(AND(P$11&gt;='업무대장'!$G15,P$11&lt;='업무대장'!$H15),$D19,"")</x:f>
      </x:c>
      <x:c r="Q19" s="57" t="str">
        <x:f>IF(AND(Q$11&gt;='업무대장'!$G15,Q$11&lt;='업무대장'!$H15),$D19,"")</x:f>
      </x:c>
      <x:c r="R19" s="57" t="str">
        <x:f>IF(AND(R$11&gt;='업무대장'!$G15,R$11&lt;='업무대장'!$H15),$D19,"")</x:f>
      </x:c>
      <x:c r="S19" s="61" t="str">
        <x:f>IF(AND(S$11&gt;='업무대장'!$G15,S$11&lt;='업무대장'!$H15),$D19,"")</x:f>
      </x:c>
      <x:c r="T19" s="57" t="str">
        <x:f>IF(AND(T$11&gt;='업무대장'!$G15,T$11&lt;='업무대장'!$H15),$D19,"")</x:f>
      </x:c>
      <x:c r="U19" s="57" t="str">
        <x:f>IF(AND(U$11&gt;='업무대장'!$G15,U$11&lt;='업무대장'!$H15),$D19,"")</x:f>
      </x:c>
      <x:c r="V19" s="57" t="str">
        <x:f>IF(AND(V$11&gt;='업무대장'!$G15,V$11&lt;='업무대장'!$H15),$D19,"")</x:f>
      </x:c>
      <x:c r="W19" s="57" t="str">
        <x:f>IF(AND(W$11&gt;='업무대장'!$G15,W$11&lt;='업무대장'!$H15),$D19,"")</x:f>
      </x:c>
      <x:c r="X19" s="57" t="str">
        <x:f>IF(AND(X$11&gt;='업무대장'!$G15,X$11&lt;='업무대장'!$H15),$D19,"")</x:f>
      </x:c>
      <x:c r="Y19" s="58" t="str">
        <x:f>IF(AND(Y$11&gt;='업무대장'!$G15,Y$11&lt;='업무대장'!$H15),$D19,"")</x:f>
      </x:c>
    </x:row>
    <x:row r="20" ht="29" customHeight="1">
      <x:c r="A20" s="2" t="str">
        <x:f>'업무대장'!A16</x:f>
        <x:v>T07</x:v>
      </x:c>
      <x:c r="B20" s="2" t="str">
        <x:f>'업무대장'!B16</x:f>
        <x:v>수집·정리</x:v>
      </x:c>
      <x:c r="C20" s="2" t="str">
        <x:f>'업무대장'!C16</x:f>
        <x:v>2024~2025 미확인 자치구 수정</x:v>
      </x:c>
      <x:c r="D20" s="55" t="str">
        <x:f>'업무대장'!D16</x:f>
        <x:v>HJ</x:v>
      </x:c>
      <x:c r="E20" s="55" t="str">
        <x:f>'업무대장'!I16</x:f>
        <x:v>완료</x:v>
      </x:c>
      <x:c r="F20" s="56" t="str">
        <x:f>IF(AND(F$11&gt;='업무대장'!$G16,F$11&lt;='업무대장'!$H16),$D20,"")</x:f>
      </x:c>
      <x:c r="G20" s="57" t="str">
        <x:f>IF(AND(G$11&gt;='업무대장'!$G16,G$11&lt;='업무대장'!$H16),$D20,"")</x:f>
      </x:c>
      <x:c r="H20" s="57" t="str">
        <x:f>IF(AND(H$11&gt;='업무대장'!$G16,H$11&lt;='업무대장'!$H16),$D20,"")</x:f>
      </x:c>
      <x:c r="I20" s="57" t="str">
        <x:f>IF(AND(I$11&gt;='업무대장'!$G16,I$11&lt;='업무대장'!$H16),$D20,"")</x:f>
      </x:c>
      <x:c r="J20" s="57" t="str">
        <x:f>IF(AND(J$11&gt;='업무대장'!$G16,J$11&lt;='업무대장'!$H16),$D20,"")</x:f>
      </x:c>
      <x:c r="K20" s="57" t="str">
        <x:f>IF(AND(K$11&gt;='업무대장'!$G16,K$11&lt;='업무대장'!$H16),$D20,"")</x:f>
      </x:c>
      <x:c r="L20" s="57" t="str">
        <x:f>IF(AND(L$11&gt;='업무대장'!$G16,L$11&lt;='업무대장'!$H16),$D20,"")</x:f>
      </x:c>
      <x:c r="M20" s="57" t="str">
        <x:f>IF(AND(M$11&gt;='업무대장'!$G16,M$11&lt;='업무대장'!$H16),$D20,"")</x:f>
      </x:c>
      <x:c r="N20" s="57" t="str">
        <x:f>IF(AND(N$11&gt;='업무대장'!$G16,N$11&lt;='업무대장'!$H16),$D20,"")</x:f>
        <x:v>HJ</x:v>
      </x:c>
      <x:c r="O20" s="57" t="str">
        <x:f>IF(AND(O$11&gt;='업무대장'!$G16,O$11&lt;='업무대장'!$H16),$D20,"")</x:f>
      </x:c>
      <x:c r="P20" s="57" t="str">
        <x:f>IF(AND(P$11&gt;='업무대장'!$G16,P$11&lt;='업무대장'!$H16),$D20,"")</x:f>
      </x:c>
      <x:c r="Q20" s="57" t="str">
        <x:f>IF(AND(Q$11&gt;='업무대장'!$G16,Q$11&lt;='업무대장'!$H16),$D20,"")</x:f>
      </x:c>
      <x:c r="R20" s="57" t="str">
        <x:f>IF(AND(R$11&gt;='업무대장'!$G16,R$11&lt;='업무대장'!$H16),$D20,"")</x:f>
      </x:c>
      <x:c r="S20" s="61" t="str">
        <x:f>IF(AND(S$11&gt;='업무대장'!$G16,S$11&lt;='업무대장'!$H16),$D20,"")</x:f>
      </x:c>
      <x:c r="T20" s="57" t="str">
        <x:f>IF(AND(T$11&gt;='업무대장'!$G16,T$11&lt;='업무대장'!$H16),$D20,"")</x:f>
      </x:c>
      <x:c r="U20" s="57" t="str">
        <x:f>IF(AND(U$11&gt;='업무대장'!$G16,U$11&lt;='업무대장'!$H16),$D20,"")</x:f>
      </x:c>
      <x:c r="V20" s="57" t="str">
        <x:f>IF(AND(V$11&gt;='업무대장'!$G16,V$11&lt;='업무대장'!$H16),$D20,"")</x:f>
      </x:c>
      <x:c r="W20" s="57" t="str">
        <x:f>IF(AND(W$11&gt;='업무대장'!$G16,W$11&lt;='업무대장'!$H16),$D20,"")</x:f>
      </x:c>
      <x:c r="X20" s="57" t="str">
        <x:f>IF(AND(X$11&gt;='업무대장'!$G16,X$11&lt;='업무대장'!$H16),$D20,"")</x:f>
      </x:c>
      <x:c r="Y20" s="58" t="str">
        <x:f>IF(AND(Y$11&gt;='업무대장'!$G16,Y$11&lt;='업무대장'!$H16),$D20,"")</x:f>
      </x:c>
    </x:row>
    <x:row r="21" ht="24" customHeight="1">
      <x:c r="A21" s="54" t="str">
        <x:v>분석·설계</x:v>
      </x:c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60"/>
      <x:c r="T21" s="54"/>
      <x:c r="U21" s="54"/>
      <x:c r="V21" s="54"/>
      <x:c r="W21" s="54"/>
      <x:c r="X21" s="54"/>
      <x:c r="Y21" s="54"/>
    </x:row>
    <x:row r="22" ht="29" customHeight="1">
      <x:c r="A22" s="2" t="str">
        <x:f>'업무대장'!A17</x:f>
        <x:v>T08</x:v>
      </x:c>
      <x:c r="B22" s="2" t="str">
        <x:f>'업무대장'!B17</x:f>
        <x:v>분석·설계</x:v>
      </x:c>
      <x:c r="C22" s="2" t="str">
        <x:f>'업무대장'!C17</x:f>
        <x:v>PPT 내용 재배열</x:v>
      </x:c>
      <x:c r="D22" s="55" t="str">
        <x:f>'업무대장'!D17</x:f>
        <x:v>HJ</x:v>
      </x:c>
      <x:c r="E22" s="55" t="str">
        <x:f>'업무대장'!I17</x:f>
        <x:v>완료</x:v>
      </x:c>
      <x:c r="F22" s="56" t="str">
        <x:f>IF(AND(F$11&gt;='업무대장'!$G17,F$11&lt;='업무대장'!$H17),$D22,"")</x:f>
      </x:c>
      <x:c r="G22" s="57" t="str">
        <x:f>IF(AND(G$11&gt;='업무대장'!$G17,G$11&lt;='업무대장'!$H17),$D22,"")</x:f>
      </x:c>
      <x:c r="H22" s="57" t="str">
        <x:f>IF(AND(H$11&gt;='업무대장'!$G17,H$11&lt;='업무대장'!$H17),$D22,"")</x:f>
      </x:c>
      <x:c r="I22" s="57" t="str">
        <x:f>IF(AND(I$11&gt;='업무대장'!$G17,I$11&lt;='업무대장'!$H17),$D22,"")</x:f>
      </x:c>
      <x:c r="J22" s="57" t="str">
        <x:f>IF(AND(J$11&gt;='업무대장'!$G17,J$11&lt;='업무대장'!$H17),$D22,"")</x:f>
      </x:c>
      <x:c r="K22" s="57" t="str">
        <x:f>IF(AND(K$11&gt;='업무대장'!$G17,K$11&lt;='업무대장'!$H17),$D22,"")</x:f>
      </x:c>
      <x:c r="L22" s="57" t="str">
        <x:f>IF(AND(L$11&gt;='업무대장'!$G17,L$11&lt;='업무대장'!$H17),$D22,"")</x:f>
      </x:c>
      <x:c r="M22" s="57" t="str">
        <x:f>IF(AND(M$11&gt;='업무대장'!$G17,M$11&lt;='업무대장'!$H17),$D22,"")</x:f>
      </x:c>
      <x:c r="N22" s="57" t="str">
        <x:f>IF(AND(N$11&gt;='업무대장'!$G17,N$11&lt;='업무대장'!$H17),$D22,"")</x:f>
        <x:v>HJ</x:v>
      </x:c>
      <x:c r="O22" s="57" t="str">
        <x:f>IF(AND(O$11&gt;='업무대장'!$G17,O$11&lt;='업무대장'!$H17),$D22,"")</x:f>
      </x:c>
      <x:c r="P22" s="57" t="str">
        <x:f>IF(AND(P$11&gt;='업무대장'!$G17,P$11&lt;='업무대장'!$H17),$D22,"")</x:f>
      </x:c>
      <x:c r="Q22" s="57" t="str">
        <x:f>IF(AND(Q$11&gt;='업무대장'!$G17,Q$11&lt;='업무대장'!$H17),$D22,"")</x:f>
      </x:c>
      <x:c r="R22" s="57" t="str">
        <x:f>IF(AND(R$11&gt;='업무대장'!$G17,R$11&lt;='업무대장'!$H17),$D22,"")</x:f>
      </x:c>
      <x:c r="S22" s="61" t="str">
        <x:f>IF(AND(S$11&gt;='업무대장'!$G17,S$11&lt;='업무대장'!$H17),$D22,"")</x:f>
      </x:c>
      <x:c r="T22" s="57" t="str">
        <x:f>IF(AND(T$11&gt;='업무대장'!$G17,T$11&lt;='업무대장'!$H17),$D22,"")</x:f>
      </x:c>
      <x:c r="U22" s="57" t="str">
        <x:f>IF(AND(U$11&gt;='업무대장'!$G17,U$11&lt;='업무대장'!$H17),$D22,"")</x:f>
      </x:c>
      <x:c r="V22" s="57" t="str">
        <x:f>IF(AND(V$11&gt;='업무대장'!$G17,V$11&lt;='업무대장'!$H17),$D22,"")</x:f>
      </x:c>
      <x:c r="W22" s="57" t="str">
        <x:f>IF(AND(W$11&gt;='업무대장'!$G17,W$11&lt;='업무대장'!$H17),$D22,"")</x:f>
      </x:c>
      <x:c r="X22" s="57" t="str">
        <x:f>IF(AND(X$11&gt;='업무대장'!$G17,X$11&lt;='업무대장'!$H17),$D22,"")</x:f>
      </x:c>
      <x:c r="Y22" s="58" t="str">
        <x:f>IF(AND(Y$11&gt;='업무대장'!$G17,Y$11&lt;='업무대장'!$H17),$D22,"")</x:f>
      </x:c>
    </x:row>
    <x:row r="23" ht="29" customHeight="1">
      <x:c r="A23" s="2" t="str">
        <x:f>'업무대장'!A18</x:f>
        <x:v>T09</x:v>
      </x:c>
      <x:c r="B23" s="2" t="str">
        <x:f>'업무대장'!B18</x:f>
        <x:v>분석·설계</x:v>
      </x:c>
      <x:c r="C23" s="2" t="str">
        <x:f>'업무대장'!C18</x:f>
        <x:v>자치구 요일·휴일 EDA 노트북</x:v>
      </x:c>
      <x:c r="D23" s="55" t="str">
        <x:f>'업무대장'!D18</x:f>
        <x:v>All</x:v>
      </x:c>
      <x:c r="E23" s="55" t="str">
        <x:f>'업무대장'!I18</x:f>
        <x:v>완료</x:v>
      </x:c>
      <x:c r="F23" s="56" t="str">
        <x:f>IF(AND(F$11&gt;='업무대장'!$G18,F$11&lt;='업무대장'!$H18),$D23,"")</x:f>
      </x:c>
      <x:c r="G23" s="57" t="str">
        <x:f>IF(AND(G$11&gt;='업무대장'!$G18,G$11&lt;='업무대장'!$H18),$D23,"")</x:f>
      </x:c>
      <x:c r="H23" s="57" t="str">
        <x:f>IF(AND(H$11&gt;='업무대장'!$G18,H$11&lt;='업무대장'!$H18),$D23,"")</x:f>
      </x:c>
      <x:c r="I23" s="57" t="str">
        <x:f>IF(AND(I$11&gt;='업무대장'!$G18,I$11&lt;='업무대장'!$H18),$D23,"")</x:f>
      </x:c>
      <x:c r="J23" s="57" t="str">
        <x:f>IF(AND(J$11&gt;='업무대장'!$G18,J$11&lt;='업무대장'!$H18),$D23,"")</x:f>
      </x:c>
      <x:c r="K23" s="57" t="str">
        <x:f>IF(AND(K$11&gt;='업무대장'!$G18,K$11&lt;='업무대장'!$H18),$D23,"")</x:f>
      </x:c>
      <x:c r="L23" s="57" t="str">
        <x:f>IF(AND(L$11&gt;='업무대장'!$G18,L$11&lt;='업무대장'!$H18),$D23,"")</x:f>
      </x:c>
      <x:c r="M23" s="57" t="str">
        <x:f>IF(AND(M$11&gt;='업무대장'!$G18,M$11&lt;='업무대장'!$H18),$D23,"")</x:f>
      </x:c>
      <x:c r="N23" s="57" t="str">
        <x:f>IF(AND(N$11&gt;='업무대장'!$G18,N$11&lt;='업무대장'!$H18),$D23,"")</x:f>
      </x:c>
      <x:c r="O23" s="57" t="str">
        <x:f>IF(AND(O$11&gt;='업무대장'!$G18,O$11&lt;='업무대장'!$H18),$D23,"")</x:f>
        <x:v>All</x:v>
      </x:c>
      <x:c r="P23" s="57" t="str">
        <x:f>IF(AND(P$11&gt;='업무대장'!$G18,P$11&lt;='업무대장'!$H18),$D23,"")</x:f>
      </x:c>
      <x:c r="Q23" s="57" t="str">
        <x:f>IF(AND(Q$11&gt;='업무대장'!$G18,Q$11&lt;='업무대장'!$H18),$D23,"")</x:f>
      </x:c>
      <x:c r="R23" s="57" t="str">
        <x:f>IF(AND(R$11&gt;='업무대장'!$G18,R$11&lt;='업무대장'!$H18),$D23,"")</x:f>
      </x:c>
      <x:c r="S23" s="61" t="str">
        <x:f>IF(AND(S$11&gt;='업무대장'!$G18,S$11&lt;='업무대장'!$H18),$D23,"")</x:f>
      </x:c>
      <x:c r="T23" s="57" t="str">
        <x:f>IF(AND(T$11&gt;='업무대장'!$G18,T$11&lt;='업무대장'!$H18),$D23,"")</x:f>
      </x:c>
      <x:c r="U23" s="57" t="str">
        <x:f>IF(AND(U$11&gt;='업무대장'!$G18,U$11&lt;='업무대장'!$H18),$D23,"")</x:f>
      </x:c>
      <x:c r="V23" s="57" t="str">
        <x:f>IF(AND(V$11&gt;='업무대장'!$G18,V$11&lt;='업무대장'!$H18),$D23,"")</x:f>
      </x:c>
      <x:c r="W23" s="57" t="str">
        <x:f>IF(AND(W$11&gt;='업무대장'!$G18,W$11&lt;='업무대장'!$H18),$D23,"")</x:f>
      </x:c>
      <x:c r="X23" s="57" t="str">
        <x:f>IF(AND(X$11&gt;='업무대장'!$G18,X$11&lt;='업무대장'!$H18),$D23,"")</x:f>
      </x:c>
      <x:c r="Y23" s="58" t="str">
        <x:f>IF(AND(Y$11&gt;='업무대장'!$G18,Y$11&lt;='업무대장'!$H18),$D23,"")</x:f>
      </x:c>
    </x:row>
    <x:row r="24" ht="29" customHeight="1">
      <x:c r="A24" s="2" t="str">
        <x:f>'업무대장'!A19</x:f>
        <x:v>T10</x:v>
      </x:c>
      <x:c r="B24" s="2" t="str">
        <x:f>'업무대장'!B19</x:f>
        <x:v>분석·설계</x:v>
      </x:c>
      <x:c r="C24" s="2" t="str">
        <x:f>'업무대장'!C19</x:f>
        <x:v>기상과 이용량 관계 EDA</x:v>
      </x:c>
      <x:c r="D24" s="55" t="str">
        <x:f>'업무대장'!D19</x:f>
        <x:v>DA</x:v>
      </x:c>
      <x:c r="E24" s="55" t="str">
        <x:f>'업무대장'!I19</x:f>
        <x:v>계획</x:v>
      </x:c>
      <x:c r="F24" s="56" t="str">
        <x:f>IF(AND(F$11&gt;='업무대장'!$G19,F$11&lt;='업무대장'!$H19),$D24,"")</x:f>
      </x:c>
      <x:c r="G24" s="57" t="str">
        <x:f>IF(AND(G$11&gt;='업무대장'!$G19,G$11&lt;='업무대장'!$H19),$D24,"")</x:f>
      </x:c>
      <x:c r="H24" s="57" t="str">
        <x:f>IF(AND(H$11&gt;='업무대장'!$G19,H$11&lt;='업무대장'!$H19),$D24,"")</x:f>
      </x:c>
      <x:c r="I24" s="57" t="str">
        <x:f>IF(AND(I$11&gt;='업무대장'!$G19,I$11&lt;='업무대장'!$H19),$D24,"")</x:f>
      </x:c>
      <x:c r="J24" s="57" t="str">
        <x:f>IF(AND(J$11&gt;='업무대장'!$G19,J$11&lt;='업무대장'!$H19),$D24,"")</x:f>
      </x:c>
      <x:c r="K24" s="57" t="str">
        <x:f>IF(AND(K$11&gt;='업무대장'!$G19,K$11&lt;='업무대장'!$H19),$D24,"")</x:f>
      </x:c>
      <x:c r="L24" s="57" t="str">
        <x:f>IF(AND(L$11&gt;='업무대장'!$G19,L$11&lt;='업무대장'!$H19),$D24,"")</x:f>
      </x:c>
      <x:c r="M24" s="57" t="str">
        <x:f>IF(AND(M$11&gt;='업무대장'!$G19,M$11&lt;='업무대장'!$H19),$D24,"")</x:f>
      </x:c>
      <x:c r="N24" s="57" t="str">
        <x:f>IF(AND(N$11&gt;='업무대장'!$G19,N$11&lt;='업무대장'!$H19),$D24,"")</x:f>
      </x:c>
      <x:c r="O24" s="57" t="str">
        <x:f>IF(AND(O$11&gt;='업무대장'!$G19,O$11&lt;='업무대장'!$H19),$D24,"")</x:f>
      </x:c>
      <x:c r="P24" s="57" t="str">
        <x:f>IF(AND(P$11&gt;='업무대장'!$G19,P$11&lt;='업무대장'!$H19),$D24,"")</x:f>
      </x:c>
      <x:c r="Q24" s="57" t="str">
        <x:f>IF(AND(Q$11&gt;='업무대장'!$G19,Q$11&lt;='업무대장'!$H19),$D24,"")</x:f>
      </x:c>
      <x:c r="R24" s="57" t="str">
        <x:f>IF(AND(R$11&gt;='업무대장'!$G19,R$11&lt;='업무대장'!$H19),$D24,"")</x:f>
      </x:c>
      <x:c r="S24" s="61" t="str">
        <x:f>IF(AND(S$11&gt;='업무대장'!$G19,S$11&lt;='업무대장'!$H19),$D24,"")</x:f>
        <x:v>DA</x:v>
      </x:c>
      <x:c r="T24" s="57" t="str">
        <x:f>IF(AND(T$11&gt;='업무대장'!$G19,T$11&lt;='업무대장'!$H19),$D24,"")</x:f>
        <x:v>DA</x:v>
      </x:c>
      <x:c r="U24" s="57" t="str">
        <x:f>IF(AND(U$11&gt;='업무대장'!$G19,U$11&lt;='업무대장'!$H19),$D24,"")</x:f>
      </x:c>
      <x:c r="V24" s="57" t="str">
        <x:f>IF(AND(V$11&gt;='업무대장'!$G19,V$11&lt;='업무대장'!$H19),$D24,"")</x:f>
      </x:c>
      <x:c r="W24" s="57" t="str">
        <x:f>IF(AND(W$11&gt;='업무대장'!$G19,W$11&lt;='업무대장'!$H19),$D24,"")</x:f>
      </x:c>
      <x:c r="X24" s="57" t="str">
        <x:f>IF(AND(X$11&gt;='업무대장'!$G19,X$11&lt;='업무대장'!$H19),$D24,"")</x:f>
      </x:c>
      <x:c r="Y24" s="58" t="str">
        <x:f>IF(AND(Y$11&gt;='업무대장'!$G19,Y$11&lt;='업무대장'!$H19),$D24,"")</x:f>
      </x:c>
    </x:row>
    <x:row r="25" ht="29" customHeight="1">
      <x:c r="A25" s="2" t="str">
        <x:f>'업무대장'!A20</x:f>
        <x:v>T11</x:v>
      </x:c>
      <x:c r="B25" s="2" t="str">
        <x:f>'업무대장'!B20</x:f>
        <x:v>분석·설계</x:v>
      </x:c>
      <x:c r="C25" s="2" t="str">
        <x:f>'업무대장'!C20</x:f>
        <x:v>시간대·자치구 이용 흐름 EDA</x:v>
      </x:c>
      <x:c r="D25" s="55" t="str">
        <x:f>'업무대장'!D20</x:f>
        <x:v>PA</x:v>
      </x:c>
      <x:c r="E25" s="55" t="str">
        <x:f>'업무대장'!I20</x:f>
        <x:v>계획</x:v>
      </x:c>
      <x:c r="F25" s="56" t="str">
        <x:f>IF(AND(F$11&gt;='업무대장'!$G20,F$11&lt;='업무대장'!$H20),$D25,"")</x:f>
      </x:c>
      <x:c r="G25" s="57" t="str">
        <x:f>IF(AND(G$11&gt;='업무대장'!$G20,G$11&lt;='업무대장'!$H20),$D25,"")</x:f>
      </x:c>
      <x:c r="H25" s="57" t="str">
        <x:f>IF(AND(H$11&gt;='업무대장'!$G20,H$11&lt;='업무대장'!$H20),$D25,"")</x:f>
      </x:c>
      <x:c r="I25" s="57" t="str">
        <x:f>IF(AND(I$11&gt;='업무대장'!$G20,I$11&lt;='업무대장'!$H20),$D25,"")</x:f>
      </x:c>
      <x:c r="J25" s="57" t="str">
        <x:f>IF(AND(J$11&gt;='업무대장'!$G20,J$11&lt;='업무대장'!$H20),$D25,"")</x:f>
      </x:c>
      <x:c r="K25" s="57" t="str">
        <x:f>IF(AND(K$11&gt;='업무대장'!$G20,K$11&lt;='업무대장'!$H20),$D25,"")</x:f>
      </x:c>
      <x:c r="L25" s="57" t="str">
        <x:f>IF(AND(L$11&gt;='업무대장'!$G20,L$11&lt;='업무대장'!$H20),$D25,"")</x:f>
      </x:c>
      <x:c r="M25" s="57" t="str">
        <x:f>IF(AND(M$11&gt;='업무대장'!$G20,M$11&lt;='업무대장'!$H20),$D25,"")</x:f>
      </x:c>
      <x:c r="N25" s="57" t="str">
        <x:f>IF(AND(N$11&gt;='업무대장'!$G20,N$11&lt;='업무대장'!$H20),$D25,"")</x:f>
      </x:c>
      <x:c r="O25" s="57" t="str">
        <x:f>IF(AND(O$11&gt;='업무대장'!$G20,O$11&lt;='업무대장'!$H20),$D25,"")</x:f>
      </x:c>
      <x:c r="P25" s="57" t="str">
        <x:f>IF(AND(P$11&gt;='업무대장'!$G20,P$11&lt;='업무대장'!$H20),$D25,"")</x:f>
      </x:c>
      <x:c r="Q25" s="57" t="str">
        <x:f>IF(AND(Q$11&gt;='업무대장'!$G20,Q$11&lt;='업무대장'!$H20),$D25,"")</x:f>
      </x:c>
      <x:c r="R25" s="57" t="str">
        <x:f>IF(AND(R$11&gt;='업무대장'!$G20,R$11&lt;='업무대장'!$H20),$D25,"")</x:f>
      </x:c>
      <x:c r="S25" s="61" t="str">
        <x:f>IF(AND(S$11&gt;='업무대장'!$G20,S$11&lt;='업무대장'!$H20),$D25,"")</x:f>
        <x:v>PA</x:v>
      </x:c>
      <x:c r="T25" s="57" t="str">
        <x:f>IF(AND(T$11&gt;='업무대장'!$G20,T$11&lt;='업무대장'!$H20),$D25,"")</x:f>
        <x:v>PA</x:v>
      </x:c>
      <x:c r="U25" s="57" t="str">
        <x:f>IF(AND(U$11&gt;='업무대장'!$G20,U$11&lt;='업무대장'!$H20),$D25,"")</x:f>
      </x:c>
      <x:c r="V25" s="57" t="str">
        <x:f>IF(AND(V$11&gt;='업무대장'!$G20,V$11&lt;='업무대장'!$H20),$D25,"")</x:f>
      </x:c>
      <x:c r="W25" s="57" t="str">
        <x:f>IF(AND(W$11&gt;='업무대장'!$G20,W$11&lt;='업무대장'!$H20),$D25,"")</x:f>
      </x:c>
      <x:c r="X25" s="57" t="str">
        <x:f>IF(AND(X$11&gt;='업무대장'!$G20,X$11&lt;='업무대장'!$H20),$D25,"")</x:f>
      </x:c>
      <x:c r="Y25" s="58" t="str">
        <x:f>IF(AND(Y$11&gt;='업무대장'!$G20,Y$11&lt;='업무대장'!$H20),$D25,"")</x:f>
      </x:c>
    </x:row>
    <x:row r="26" ht="29" customHeight="1">
      <x:c r="A26" s="2" t="str">
        <x:f>'업무대장'!A21</x:f>
        <x:v>T12</x:v>
      </x:c>
      <x:c r="B26" s="2" t="str">
        <x:f>'업무대장'!B21</x:f>
        <x:v>분석·설계</x:v>
      </x:c>
      <x:c r="C26" s="2" t="str">
        <x:f>'업무대장'!C21</x:f>
        <x:v>데이터 통합·누락·중복 점검</x:v>
      </x:c>
      <x:c r="D26" s="55" t="str">
        <x:f>'업무대장'!D21</x:f>
        <x:v>RA</x:v>
      </x:c>
      <x:c r="E26" s="55" t="str">
        <x:f>'업무대장'!I21</x:f>
        <x:v>계획</x:v>
      </x:c>
      <x:c r="F26" s="56" t="str">
        <x:f>IF(AND(F$11&gt;='업무대장'!$G21,F$11&lt;='업무대장'!$H21),$D26,"")</x:f>
      </x:c>
      <x:c r="G26" s="57" t="str">
        <x:f>IF(AND(G$11&gt;='업무대장'!$G21,G$11&lt;='업무대장'!$H21),$D26,"")</x:f>
      </x:c>
      <x:c r="H26" s="57" t="str">
        <x:f>IF(AND(H$11&gt;='업무대장'!$G21,H$11&lt;='업무대장'!$H21),$D26,"")</x:f>
      </x:c>
      <x:c r="I26" s="57" t="str">
        <x:f>IF(AND(I$11&gt;='업무대장'!$G21,I$11&lt;='업무대장'!$H21),$D26,"")</x:f>
      </x:c>
      <x:c r="J26" s="57" t="str">
        <x:f>IF(AND(J$11&gt;='업무대장'!$G21,J$11&lt;='업무대장'!$H21),$D26,"")</x:f>
      </x:c>
      <x:c r="K26" s="57" t="str">
        <x:f>IF(AND(K$11&gt;='업무대장'!$G21,K$11&lt;='업무대장'!$H21),$D26,"")</x:f>
      </x:c>
      <x:c r="L26" s="57" t="str">
        <x:f>IF(AND(L$11&gt;='업무대장'!$G21,L$11&lt;='업무대장'!$H21),$D26,"")</x:f>
      </x:c>
      <x:c r="M26" s="57" t="str">
        <x:f>IF(AND(M$11&gt;='업무대장'!$G21,M$11&lt;='업무대장'!$H21),$D26,"")</x:f>
      </x:c>
      <x:c r="N26" s="57" t="str">
        <x:f>IF(AND(N$11&gt;='업무대장'!$G21,N$11&lt;='업무대장'!$H21),$D26,"")</x:f>
      </x:c>
      <x:c r="O26" s="57" t="str">
        <x:f>IF(AND(O$11&gt;='업무대장'!$G21,O$11&lt;='업무대장'!$H21),$D26,"")</x:f>
      </x:c>
      <x:c r="P26" s="57" t="str">
        <x:f>IF(AND(P$11&gt;='업무대장'!$G21,P$11&lt;='업무대장'!$H21),$D26,"")</x:f>
      </x:c>
      <x:c r="Q26" s="57" t="str">
        <x:f>IF(AND(Q$11&gt;='업무대장'!$G21,Q$11&lt;='업무대장'!$H21),$D26,"")</x:f>
      </x:c>
      <x:c r="R26" s="57" t="str">
        <x:f>IF(AND(R$11&gt;='업무대장'!$G21,R$11&lt;='업무대장'!$H21),$D26,"")</x:f>
      </x:c>
      <x:c r="S26" s="61" t="str">
        <x:f>IF(AND(S$11&gt;='업무대장'!$G21,S$11&lt;='업무대장'!$H21),$D26,"")</x:f>
        <x:v>RA</x:v>
      </x:c>
      <x:c r="T26" s="57" t="str">
        <x:f>IF(AND(T$11&gt;='업무대장'!$G21,T$11&lt;='업무대장'!$H21),$D26,"")</x:f>
        <x:v>RA</x:v>
      </x:c>
      <x:c r="U26" s="57" t="str">
        <x:f>IF(AND(U$11&gt;='업무대장'!$G21,U$11&lt;='업무대장'!$H21),$D26,"")</x:f>
      </x:c>
      <x:c r="V26" s="57" t="str">
        <x:f>IF(AND(V$11&gt;='업무대장'!$G21,V$11&lt;='업무대장'!$H21),$D26,"")</x:f>
      </x:c>
      <x:c r="W26" s="57" t="str">
        <x:f>IF(AND(W$11&gt;='업무대장'!$G21,W$11&lt;='업무대장'!$H21),$D26,"")</x:f>
      </x:c>
      <x:c r="X26" s="57" t="str">
        <x:f>IF(AND(X$11&gt;='업무대장'!$G21,X$11&lt;='업무대장'!$H21),$D26,"")</x:f>
      </x:c>
      <x:c r="Y26" s="58" t="str">
        <x:f>IF(AND(Y$11&gt;='업무대장'!$G21,Y$11&lt;='업무대장'!$H21),$D26,"")</x:f>
      </x:c>
    </x:row>
    <x:row r="27" ht="24" customHeight="1">
      <x:c r="A27" s="54" t="str">
        <x:v>모델·평가</x:v>
      </x:c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60"/>
      <x:c r="T27" s="54"/>
      <x:c r="U27" s="54"/>
      <x:c r="V27" s="54"/>
      <x:c r="W27" s="54"/>
      <x:c r="X27" s="54"/>
      <x:c r="Y27" s="54"/>
    </x:row>
    <x:row r="28" ht="29" customHeight="1">
      <x:c r="A28" s="2" t="str">
        <x:f>'업무대장'!A22</x:f>
        <x:v>T13</x:v>
      </x:c>
      <x:c r="B28" s="2" t="str">
        <x:f>'업무대장'!B22</x:f>
        <x:v>모델·평가</x:v>
      </x:c>
      <x:c r="C28" s="2" t="str">
        <x:f>'업무대장'!C22</x:f>
        <x:v>불균형 label·클래스 정의</x:v>
      </x:c>
      <x:c r="D28" s="55" t="str">
        <x:f>'업무대장'!D22</x:f>
        <x:v>All</x:v>
      </x:c>
      <x:c r="E28" s="55" t="str">
        <x:f>'업무대장'!I22</x:f>
        <x:v>계획</x:v>
      </x:c>
      <x:c r="F28" s="56" t="str">
        <x:f>IF(AND(F$11&gt;='업무대장'!$G22,F$11&lt;='업무대장'!$H22),$D28,"")</x:f>
      </x:c>
      <x:c r="G28" s="57" t="str">
        <x:f>IF(AND(G$11&gt;='업무대장'!$G22,G$11&lt;='업무대장'!$H22),$D28,"")</x:f>
      </x:c>
      <x:c r="H28" s="57" t="str">
        <x:f>IF(AND(H$11&gt;='업무대장'!$G22,H$11&lt;='업무대장'!$H22),$D28,"")</x:f>
      </x:c>
      <x:c r="I28" s="57" t="str">
        <x:f>IF(AND(I$11&gt;='업무대장'!$G22,I$11&lt;='업무대장'!$H22),$D28,"")</x:f>
      </x:c>
      <x:c r="J28" s="57" t="str">
        <x:f>IF(AND(J$11&gt;='업무대장'!$G22,J$11&lt;='업무대장'!$H22),$D28,"")</x:f>
      </x:c>
      <x:c r="K28" s="57" t="str">
        <x:f>IF(AND(K$11&gt;='업무대장'!$G22,K$11&lt;='업무대장'!$H22),$D28,"")</x:f>
      </x:c>
      <x:c r="L28" s="57" t="str">
        <x:f>IF(AND(L$11&gt;='업무대장'!$G22,L$11&lt;='업무대장'!$H22),$D28,"")</x:f>
      </x:c>
      <x:c r="M28" s="57" t="str">
        <x:f>IF(AND(M$11&gt;='업무대장'!$G22,M$11&lt;='업무대장'!$H22),$D28,"")</x:f>
      </x:c>
      <x:c r="N28" s="57" t="str">
        <x:f>IF(AND(N$11&gt;='업무대장'!$G22,N$11&lt;='업무대장'!$H22),$D28,"")</x:f>
      </x:c>
      <x:c r="O28" s="57" t="str">
        <x:f>IF(AND(O$11&gt;='업무대장'!$G22,O$11&lt;='업무대장'!$H22),$D28,"")</x:f>
      </x:c>
      <x:c r="P28" s="57" t="str">
        <x:f>IF(AND(P$11&gt;='업무대장'!$G22,P$11&lt;='업무대장'!$H22),$D28,"")</x:f>
      </x:c>
      <x:c r="Q28" s="57" t="str">
        <x:f>IF(AND(Q$11&gt;='업무대장'!$G22,Q$11&lt;='업무대장'!$H22),$D28,"")</x:f>
      </x:c>
      <x:c r="R28" s="57" t="str">
        <x:f>IF(AND(R$11&gt;='업무대장'!$G22,R$11&lt;='업무대장'!$H22),$D28,"")</x:f>
      </x:c>
      <x:c r="S28" s="61" t="str">
        <x:f>IF(AND(S$11&gt;='업무대장'!$G22,S$11&lt;='업무대장'!$H22),$D28,"")</x:f>
      </x:c>
      <x:c r="T28" s="57" t="str">
        <x:f>IF(AND(T$11&gt;='업무대장'!$G22,T$11&lt;='업무대장'!$H22),$D28,"")</x:f>
        <x:v>All</x:v>
      </x:c>
      <x:c r="U28" s="57" t="str">
        <x:f>IF(AND(U$11&gt;='업무대장'!$G22,U$11&lt;='업무대장'!$H22),$D28,"")</x:f>
      </x:c>
      <x:c r="V28" s="57" t="str">
        <x:f>IF(AND(V$11&gt;='업무대장'!$G22,V$11&lt;='업무대장'!$H22),$D28,"")</x:f>
      </x:c>
      <x:c r="W28" s="57" t="str">
        <x:f>IF(AND(W$11&gt;='업무대장'!$G22,W$11&lt;='업무대장'!$H22),$D28,"")</x:f>
      </x:c>
      <x:c r="X28" s="57" t="str">
        <x:f>IF(AND(X$11&gt;='업무대장'!$G22,X$11&lt;='업무대장'!$H22),$D28,"")</x:f>
      </x:c>
      <x:c r="Y28" s="58" t="str">
        <x:f>IF(AND(Y$11&gt;='업무대장'!$G22,Y$11&lt;='업무대장'!$H22),$D28,"")</x:f>
      </x:c>
    </x:row>
    <x:row r="29" ht="29" customHeight="1">
      <x:c r="A29" s="2" t="str">
        <x:f>'업무대장'!A23</x:f>
        <x:v>T14</x:v>
      </x:c>
      <x:c r="B29" s="2" t="str">
        <x:f>'업무대장'!B23</x:f>
        <x:v>모델·평가</x:v>
      </x:c>
      <x:c r="C29" s="2" t="str">
        <x:f>'업무대장'!C23</x:f>
        <x:v>시간순 분할·기준선 설계</x:v>
      </x:c>
      <x:c r="D29" s="55" t="str">
        <x:f>'업무대장'!D23</x:f>
        <x:v>All</x:v>
      </x:c>
      <x:c r="E29" s="55" t="str">
        <x:f>'업무대장'!I23</x:f>
        <x:v>계획</x:v>
      </x:c>
      <x:c r="F29" s="56" t="str">
        <x:f>IF(AND(F$11&gt;='업무대장'!$G23,F$11&lt;='업무대장'!$H23),$D29,"")</x:f>
      </x:c>
      <x:c r="G29" s="57" t="str">
        <x:f>IF(AND(G$11&gt;='업무대장'!$G23,G$11&lt;='업무대장'!$H23),$D29,"")</x:f>
      </x:c>
      <x:c r="H29" s="57" t="str">
        <x:f>IF(AND(H$11&gt;='업무대장'!$G23,H$11&lt;='업무대장'!$H23),$D29,"")</x:f>
      </x:c>
      <x:c r="I29" s="57" t="str">
        <x:f>IF(AND(I$11&gt;='업무대장'!$G23,I$11&lt;='업무대장'!$H23),$D29,"")</x:f>
      </x:c>
      <x:c r="J29" s="57" t="str">
        <x:f>IF(AND(J$11&gt;='업무대장'!$G23,J$11&lt;='업무대장'!$H23),$D29,"")</x:f>
      </x:c>
      <x:c r="K29" s="57" t="str">
        <x:f>IF(AND(K$11&gt;='업무대장'!$G23,K$11&lt;='업무대장'!$H23),$D29,"")</x:f>
      </x:c>
      <x:c r="L29" s="57" t="str">
        <x:f>IF(AND(L$11&gt;='업무대장'!$G23,L$11&lt;='업무대장'!$H23),$D29,"")</x:f>
      </x:c>
      <x:c r="M29" s="57" t="str">
        <x:f>IF(AND(M$11&gt;='업무대장'!$G23,M$11&lt;='업무대장'!$H23),$D29,"")</x:f>
      </x:c>
      <x:c r="N29" s="57" t="str">
        <x:f>IF(AND(N$11&gt;='업무대장'!$G23,N$11&lt;='업무대장'!$H23),$D29,"")</x:f>
      </x:c>
      <x:c r="O29" s="57" t="str">
        <x:f>IF(AND(O$11&gt;='업무대장'!$G23,O$11&lt;='업무대장'!$H23),$D29,"")</x:f>
      </x:c>
      <x:c r="P29" s="57" t="str">
        <x:f>IF(AND(P$11&gt;='업무대장'!$G23,P$11&lt;='업무대장'!$H23),$D29,"")</x:f>
      </x:c>
      <x:c r="Q29" s="57" t="str">
        <x:f>IF(AND(Q$11&gt;='업무대장'!$G23,Q$11&lt;='업무대장'!$H23),$D29,"")</x:f>
      </x:c>
      <x:c r="R29" s="57" t="str">
        <x:f>IF(AND(R$11&gt;='업무대장'!$G23,R$11&lt;='업무대장'!$H23),$D29,"")</x:f>
      </x:c>
      <x:c r="S29" s="61" t="str">
        <x:f>IF(AND(S$11&gt;='업무대장'!$G23,S$11&lt;='업무대장'!$H23),$D29,"")</x:f>
      </x:c>
      <x:c r="T29" s="57" t="str">
        <x:f>IF(AND(T$11&gt;='업무대장'!$G23,T$11&lt;='업무대장'!$H23),$D29,"")</x:f>
        <x:v>All</x:v>
      </x:c>
      <x:c r="U29" s="57" t="str">
        <x:f>IF(AND(U$11&gt;='업무대장'!$G23,U$11&lt;='업무대장'!$H23),$D29,"")</x:f>
        <x:v>All</x:v>
      </x:c>
      <x:c r="V29" s="57" t="str">
        <x:f>IF(AND(V$11&gt;='업무대장'!$G23,V$11&lt;='업무대장'!$H23),$D29,"")</x:f>
      </x:c>
      <x:c r="W29" s="57" t="str">
        <x:f>IF(AND(W$11&gt;='업무대장'!$G23,W$11&lt;='업무대장'!$H23),$D29,"")</x:f>
      </x:c>
      <x:c r="X29" s="57" t="str">
        <x:f>IF(AND(X$11&gt;='업무대장'!$G23,X$11&lt;='업무대장'!$H23),$D29,"")</x:f>
      </x:c>
      <x:c r="Y29" s="58" t="str">
        <x:f>IF(AND(Y$11&gt;='업무대장'!$G23,Y$11&lt;='업무대장'!$H23),$D29,"")</x:f>
      </x:c>
    </x:row>
    <x:row r="30" ht="29" customHeight="1">
      <x:c r="A30" s="2" t="str">
        <x:f>'업무대장'!A24</x:f>
        <x:v>T15</x:v>
      </x:c>
      <x:c r="B30" s="2" t="str">
        <x:f>'업무대장'!B24</x:f>
        <x:v>모델·평가</x:v>
      </x:c>
      <x:c r="C30" s="2" t="str">
        <x:f>'업무대장'!C24</x:f>
        <x:v>수업 범위 분류모델 학습·비교</x:v>
      </x:c>
      <x:c r="D30" s="55" t="str">
        <x:f>'업무대장'!D24</x:f>
        <x:v>All</x:v>
      </x:c>
      <x:c r="E30" s="55" t="str">
        <x:f>'업무대장'!I24</x:f>
        <x:v>계획</x:v>
      </x:c>
      <x:c r="F30" s="56" t="str">
        <x:f>IF(AND(F$11&gt;='업무대장'!$G24,F$11&lt;='업무대장'!$H24),$D30,"")</x:f>
      </x:c>
      <x:c r="G30" s="57" t="str">
        <x:f>IF(AND(G$11&gt;='업무대장'!$G24,G$11&lt;='업무대장'!$H24),$D30,"")</x:f>
      </x:c>
      <x:c r="H30" s="57" t="str">
        <x:f>IF(AND(H$11&gt;='업무대장'!$G24,H$11&lt;='업무대장'!$H24),$D30,"")</x:f>
      </x:c>
      <x:c r="I30" s="57" t="str">
        <x:f>IF(AND(I$11&gt;='업무대장'!$G24,I$11&lt;='업무대장'!$H24),$D30,"")</x:f>
      </x:c>
      <x:c r="J30" s="57" t="str">
        <x:f>IF(AND(J$11&gt;='업무대장'!$G24,J$11&lt;='업무대장'!$H24),$D30,"")</x:f>
      </x:c>
      <x:c r="K30" s="57" t="str">
        <x:f>IF(AND(K$11&gt;='업무대장'!$G24,K$11&lt;='업무대장'!$H24),$D30,"")</x:f>
      </x:c>
      <x:c r="L30" s="57" t="str">
        <x:f>IF(AND(L$11&gt;='업무대장'!$G24,L$11&lt;='업무대장'!$H24),$D30,"")</x:f>
      </x:c>
      <x:c r="M30" s="57" t="str">
        <x:f>IF(AND(M$11&gt;='업무대장'!$G24,M$11&lt;='업무대장'!$H24),$D30,"")</x:f>
      </x:c>
      <x:c r="N30" s="57" t="str">
        <x:f>IF(AND(N$11&gt;='업무대장'!$G24,N$11&lt;='업무대장'!$H24),$D30,"")</x:f>
      </x:c>
      <x:c r="O30" s="57" t="str">
        <x:f>IF(AND(O$11&gt;='업무대장'!$G24,O$11&lt;='업무대장'!$H24),$D30,"")</x:f>
      </x:c>
      <x:c r="P30" s="57" t="str">
        <x:f>IF(AND(P$11&gt;='업무대장'!$G24,P$11&lt;='업무대장'!$H24),$D30,"")</x:f>
      </x:c>
      <x:c r="Q30" s="57" t="str">
        <x:f>IF(AND(Q$11&gt;='업무대장'!$G24,Q$11&lt;='업무대장'!$H24),$D30,"")</x:f>
      </x:c>
      <x:c r="R30" s="57" t="str">
        <x:f>IF(AND(R$11&gt;='업무대장'!$G24,R$11&lt;='업무대장'!$H24),$D30,"")</x:f>
      </x:c>
      <x:c r="S30" s="61" t="str">
        <x:f>IF(AND(S$11&gt;='업무대장'!$G24,S$11&lt;='업무대장'!$H24),$D30,"")</x:f>
      </x:c>
      <x:c r="T30" s="57" t="str">
        <x:f>IF(AND(T$11&gt;='업무대장'!$G24,T$11&lt;='업무대장'!$H24),$D30,"")</x:f>
      </x:c>
      <x:c r="U30" s="57" t="str">
        <x:f>IF(AND(U$11&gt;='업무대장'!$G24,U$11&lt;='업무대장'!$H24),$D30,"")</x:f>
        <x:v>All</x:v>
      </x:c>
      <x:c r="V30" s="57" t="str">
        <x:f>IF(AND(V$11&gt;='업무대장'!$G24,V$11&lt;='업무대장'!$H24),$D30,"")</x:f>
        <x:v>All</x:v>
      </x:c>
      <x:c r="W30" s="57" t="str">
        <x:f>IF(AND(W$11&gt;='업무대장'!$G24,W$11&lt;='업무대장'!$H24),$D30,"")</x:f>
      </x:c>
      <x:c r="X30" s="57" t="str">
        <x:f>IF(AND(X$11&gt;='업무대장'!$G24,X$11&lt;='업무대장'!$H24),$D30,"")</x:f>
      </x:c>
      <x:c r="Y30" s="58" t="str">
        <x:f>IF(AND(Y$11&gt;='업무대장'!$G24,Y$11&lt;='업무대장'!$H24),$D30,"")</x:f>
      </x:c>
    </x:row>
    <x:row r="31" ht="29" customHeight="1">
      <x:c r="A31" s="2" t="str">
        <x:f>'업무대장'!A25</x:f>
        <x:v>T16</x:v>
      </x:c>
      <x:c r="B31" s="2" t="str">
        <x:f>'업무대장'!B25</x:f>
        <x:v>모델·평가</x:v>
      </x:c>
      <x:c r="C31" s="2" t="str">
        <x:f>'업무대장'!C25</x:f>
        <x:v>F1·ROC-AUC·Recall 최종 평가</x:v>
      </x:c>
      <x:c r="D31" s="55" t="str">
        <x:f>'업무대장'!D25</x:f>
        <x:v>All</x:v>
      </x:c>
      <x:c r="E31" s="55" t="str">
        <x:f>'업무대장'!I25</x:f>
        <x:v>계획</x:v>
      </x:c>
      <x:c r="F31" s="56" t="str">
        <x:f>IF(AND(F$11&gt;='업무대장'!$G25,F$11&lt;='업무대장'!$H25),$D31,"")</x:f>
      </x:c>
      <x:c r="G31" s="57" t="str">
        <x:f>IF(AND(G$11&gt;='업무대장'!$G25,G$11&lt;='업무대장'!$H25),$D31,"")</x:f>
      </x:c>
      <x:c r="H31" s="57" t="str">
        <x:f>IF(AND(H$11&gt;='업무대장'!$G25,H$11&lt;='업무대장'!$H25),$D31,"")</x:f>
      </x:c>
      <x:c r="I31" s="57" t="str">
        <x:f>IF(AND(I$11&gt;='업무대장'!$G25,I$11&lt;='업무대장'!$H25),$D31,"")</x:f>
      </x:c>
      <x:c r="J31" s="57" t="str">
        <x:f>IF(AND(J$11&gt;='업무대장'!$G25,J$11&lt;='업무대장'!$H25),$D31,"")</x:f>
      </x:c>
      <x:c r="K31" s="57" t="str">
        <x:f>IF(AND(K$11&gt;='업무대장'!$G25,K$11&lt;='업무대장'!$H25),$D31,"")</x:f>
      </x:c>
      <x:c r="L31" s="57" t="str">
        <x:f>IF(AND(L$11&gt;='업무대장'!$G25,L$11&lt;='업무대장'!$H25),$D31,"")</x:f>
      </x:c>
      <x:c r="M31" s="57" t="str">
        <x:f>IF(AND(M$11&gt;='업무대장'!$G25,M$11&lt;='업무대장'!$H25),$D31,"")</x:f>
      </x:c>
      <x:c r="N31" s="57" t="str">
        <x:f>IF(AND(N$11&gt;='업무대장'!$G25,N$11&lt;='업무대장'!$H25),$D31,"")</x:f>
      </x:c>
      <x:c r="O31" s="57" t="str">
        <x:f>IF(AND(O$11&gt;='업무대장'!$G25,O$11&lt;='업무대장'!$H25),$D31,"")</x:f>
      </x:c>
      <x:c r="P31" s="57" t="str">
        <x:f>IF(AND(P$11&gt;='업무대장'!$G25,P$11&lt;='업무대장'!$H25),$D31,"")</x:f>
      </x:c>
      <x:c r="Q31" s="57" t="str">
        <x:f>IF(AND(Q$11&gt;='업무대장'!$G25,Q$11&lt;='업무대장'!$H25),$D31,"")</x:f>
      </x:c>
      <x:c r="R31" s="57" t="str">
        <x:f>IF(AND(R$11&gt;='업무대장'!$G25,R$11&lt;='업무대장'!$H25),$D31,"")</x:f>
      </x:c>
      <x:c r="S31" s="61" t="str">
        <x:f>IF(AND(S$11&gt;='업무대장'!$G25,S$11&lt;='업무대장'!$H25),$D31,"")</x:f>
      </x:c>
      <x:c r="T31" s="57" t="str">
        <x:f>IF(AND(T$11&gt;='업무대장'!$G25,T$11&lt;='업무대장'!$H25),$D31,"")</x:f>
      </x:c>
      <x:c r="U31" s="57" t="str">
        <x:f>IF(AND(U$11&gt;='업무대장'!$G25,U$11&lt;='업무대장'!$H25),$D31,"")</x:f>
      </x:c>
      <x:c r="V31" s="57" t="str">
        <x:f>IF(AND(V$11&gt;='업무대장'!$G25,V$11&lt;='업무대장'!$H25),$D31,"")</x:f>
        <x:v>All</x:v>
      </x:c>
      <x:c r="W31" s="57" t="str">
        <x:f>IF(AND(W$11&gt;='업무대장'!$G25,W$11&lt;='업무대장'!$H25),$D31,"")</x:f>
      </x:c>
      <x:c r="X31" s="57" t="str">
        <x:f>IF(AND(X$11&gt;='업무대장'!$G25,X$11&lt;='업무대장'!$H25),$D31,"")</x:f>
      </x:c>
      <x:c r="Y31" s="58" t="str">
        <x:f>IF(AND(Y$11&gt;='업무대장'!$G25,Y$11&lt;='업무대장'!$H25),$D31,"")</x:f>
      </x:c>
    </x:row>
    <x:row r="32" ht="29" customHeight="1">
      <x:c r="A32" s="2" t="str">
        <x:f>'업무대장'!A26</x:f>
        <x:v>T17</x:v>
      </x:c>
      <x:c r="B32" s="2" t="str">
        <x:f>'업무대장'!B26</x:f>
        <x:v>모델·평가</x:v>
      </x:c>
      <x:c r="C32" s="2" t="str">
        <x:f>'업무대장'!C26</x:f>
        <x:v>재배치 우선순위 기준 검토</x:v>
      </x:c>
      <x:c r="D32" s="55" t="str">
        <x:f>'업무대장'!D26</x:f>
        <x:v>All</x:v>
      </x:c>
      <x:c r="E32" s="55" t="str">
        <x:f>'업무대장'!I26</x:f>
        <x:v>계획</x:v>
      </x:c>
      <x:c r="F32" s="56" t="str">
        <x:f>IF(AND(F$11&gt;='업무대장'!$G26,F$11&lt;='업무대장'!$H26),$D32,"")</x:f>
      </x:c>
      <x:c r="G32" s="57" t="str">
        <x:f>IF(AND(G$11&gt;='업무대장'!$G26,G$11&lt;='업무대장'!$H26),$D32,"")</x:f>
      </x:c>
      <x:c r="H32" s="57" t="str">
        <x:f>IF(AND(H$11&gt;='업무대장'!$G26,H$11&lt;='업무대장'!$H26),$D32,"")</x:f>
      </x:c>
      <x:c r="I32" s="57" t="str">
        <x:f>IF(AND(I$11&gt;='업무대장'!$G26,I$11&lt;='업무대장'!$H26),$D32,"")</x:f>
      </x:c>
      <x:c r="J32" s="57" t="str">
        <x:f>IF(AND(J$11&gt;='업무대장'!$G26,J$11&lt;='업무대장'!$H26),$D32,"")</x:f>
      </x:c>
      <x:c r="K32" s="57" t="str">
        <x:f>IF(AND(K$11&gt;='업무대장'!$G26,K$11&lt;='업무대장'!$H26),$D32,"")</x:f>
      </x:c>
      <x:c r="L32" s="57" t="str">
        <x:f>IF(AND(L$11&gt;='업무대장'!$G26,L$11&lt;='업무대장'!$H26),$D32,"")</x:f>
      </x:c>
      <x:c r="M32" s="57" t="str">
        <x:f>IF(AND(M$11&gt;='업무대장'!$G26,M$11&lt;='업무대장'!$H26),$D32,"")</x:f>
      </x:c>
      <x:c r="N32" s="57" t="str">
        <x:f>IF(AND(N$11&gt;='업무대장'!$G26,N$11&lt;='업무대장'!$H26),$D32,"")</x:f>
      </x:c>
      <x:c r="O32" s="57" t="str">
        <x:f>IF(AND(O$11&gt;='업무대장'!$G26,O$11&lt;='업무대장'!$H26),$D32,"")</x:f>
      </x:c>
      <x:c r="P32" s="57" t="str">
        <x:f>IF(AND(P$11&gt;='업무대장'!$G26,P$11&lt;='업무대장'!$H26),$D32,"")</x:f>
      </x:c>
      <x:c r="Q32" s="57" t="str">
        <x:f>IF(AND(Q$11&gt;='업무대장'!$G26,Q$11&lt;='업무대장'!$H26),$D32,"")</x:f>
      </x:c>
      <x:c r="R32" s="57" t="str">
        <x:f>IF(AND(R$11&gt;='업무대장'!$G26,R$11&lt;='업무대장'!$H26),$D32,"")</x:f>
      </x:c>
      <x:c r="S32" s="61" t="str">
        <x:f>IF(AND(S$11&gt;='업무대장'!$G26,S$11&lt;='업무대장'!$H26),$D32,"")</x:f>
      </x:c>
      <x:c r="T32" s="57" t="str">
        <x:f>IF(AND(T$11&gt;='업무대장'!$G26,T$11&lt;='업무대장'!$H26),$D32,"")</x:f>
      </x:c>
      <x:c r="U32" s="57" t="str">
        <x:f>IF(AND(U$11&gt;='업무대장'!$G26,U$11&lt;='업무대장'!$H26),$D32,"")</x:f>
      </x:c>
      <x:c r="V32" s="57" t="str">
        <x:f>IF(AND(V$11&gt;='업무대장'!$G26,V$11&lt;='업무대장'!$H26),$D32,"")</x:f>
        <x:v>All</x:v>
      </x:c>
      <x:c r="W32" s="57" t="str">
        <x:f>IF(AND(W$11&gt;='업무대장'!$G26,W$11&lt;='업무대장'!$H26),$D32,"")</x:f>
        <x:v>All</x:v>
      </x:c>
      <x:c r="X32" s="57" t="str">
        <x:f>IF(AND(X$11&gt;='업무대장'!$G26,X$11&lt;='업무대장'!$H26),$D32,"")</x:f>
      </x:c>
      <x:c r="Y32" s="58" t="str">
        <x:f>IF(AND(Y$11&gt;='업무대장'!$G26,Y$11&lt;='업무대장'!$H26),$D32,"")</x:f>
      </x:c>
    </x:row>
    <x:row r="33" ht="24" customHeight="1">
      <x:c r="A33" s="54" t="str">
        <x:v>웹·서비스</x:v>
      </x:c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60"/>
      <x:c r="T33" s="54"/>
      <x:c r="U33" s="54"/>
      <x:c r="V33" s="54"/>
      <x:c r="W33" s="54"/>
      <x:c r="X33" s="54"/>
      <x:c r="Y33" s="54"/>
    </x:row>
    <x:row r="34" ht="29" customHeight="1">
      <x:c r="A34" s="2" t="str">
        <x:f>'업무대장'!A27</x:f>
        <x:v>T18</x:v>
      </x:c>
      <x:c r="B34" s="2" t="str">
        <x:f>'업무대장'!B27</x:f>
        <x:v>웹·서비스</x:v>
      </x:c>
      <x:c r="C34" s="2" t="str">
        <x:f>'업무대장'!C27</x:f>
        <x:v>예측 함수 입출력 정리</x:v>
      </x:c>
      <x:c r="D34" s="55" t="str">
        <x:f>'업무대장'!D27</x:f>
        <x:v>RA</x:v>
      </x:c>
      <x:c r="E34" s="55" t="str">
        <x:f>'업무대장'!I27</x:f>
        <x:v>계획</x:v>
      </x:c>
      <x:c r="F34" s="56" t="str">
        <x:f>IF(AND(F$11&gt;='업무대장'!$G27,F$11&lt;='업무대장'!$H27),$D34,"")</x:f>
      </x:c>
      <x:c r="G34" s="57" t="str">
        <x:f>IF(AND(G$11&gt;='업무대장'!$G27,G$11&lt;='업무대장'!$H27),$D34,"")</x:f>
      </x:c>
      <x:c r="H34" s="57" t="str">
        <x:f>IF(AND(H$11&gt;='업무대장'!$G27,H$11&lt;='업무대장'!$H27),$D34,"")</x:f>
      </x:c>
      <x:c r="I34" s="57" t="str">
        <x:f>IF(AND(I$11&gt;='업무대장'!$G27,I$11&lt;='업무대장'!$H27),$D34,"")</x:f>
      </x:c>
      <x:c r="J34" s="57" t="str">
        <x:f>IF(AND(J$11&gt;='업무대장'!$G27,J$11&lt;='업무대장'!$H27),$D34,"")</x:f>
      </x:c>
      <x:c r="K34" s="57" t="str">
        <x:f>IF(AND(K$11&gt;='업무대장'!$G27,K$11&lt;='업무대장'!$H27),$D34,"")</x:f>
      </x:c>
      <x:c r="L34" s="57" t="str">
        <x:f>IF(AND(L$11&gt;='업무대장'!$G27,L$11&lt;='업무대장'!$H27),$D34,"")</x:f>
      </x:c>
      <x:c r="M34" s="57" t="str">
        <x:f>IF(AND(M$11&gt;='업무대장'!$G27,M$11&lt;='업무대장'!$H27),$D34,"")</x:f>
      </x:c>
      <x:c r="N34" s="57" t="str">
        <x:f>IF(AND(N$11&gt;='업무대장'!$G27,N$11&lt;='업무대장'!$H27),$D34,"")</x:f>
      </x:c>
      <x:c r="O34" s="57" t="str">
        <x:f>IF(AND(O$11&gt;='업무대장'!$G27,O$11&lt;='업무대장'!$H27),$D34,"")</x:f>
      </x:c>
      <x:c r="P34" s="57" t="str">
        <x:f>IF(AND(P$11&gt;='업무대장'!$G27,P$11&lt;='업무대장'!$H27),$D34,"")</x:f>
      </x:c>
      <x:c r="Q34" s="57" t="str">
        <x:f>IF(AND(Q$11&gt;='업무대장'!$G27,Q$11&lt;='업무대장'!$H27),$D34,"")</x:f>
      </x:c>
      <x:c r="R34" s="57" t="str">
        <x:f>IF(AND(R$11&gt;='업무대장'!$G27,R$11&lt;='업무대장'!$H27),$D34,"")</x:f>
      </x:c>
      <x:c r="S34" s="61" t="str">
        <x:f>IF(AND(S$11&gt;='업무대장'!$G27,S$11&lt;='업무대장'!$H27),$D34,"")</x:f>
      </x:c>
      <x:c r="T34" s="57" t="str">
        <x:f>IF(AND(T$11&gt;='업무대장'!$G27,T$11&lt;='업무대장'!$H27),$D34,"")</x:f>
      </x:c>
      <x:c r="U34" s="57" t="str">
        <x:f>IF(AND(U$11&gt;='업무대장'!$G27,U$11&lt;='업무대장'!$H27),$D34,"")</x:f>
      </x:c>
      <x:c r="V34" s="57" t="str">
        <x:f>IF(AND(V$11&gt;='업무대장'!$G27,V$11&lt;='업무대장'!$H27),$D34,"")</x:f>
        <x:v>RA</x:v>
      </x:c>
      <x:c r="W34" s="57" t="str">
        <x:f>IF(AND(W$11&gt;='업무대장'!$G27,W$11&lt;='업무대장'!$H27),$D34,"")</x:f>
        <x:v>RA</x:v>
      </x:c>
      <x:c r="X34" s="57" t="str">
        <x:f>IF(AND(X$11&gt;='업무대장'!$G27,X$11&lt;='업무대장'!$H27),$D34,"")</x:f>
      </x:c>
      <x:c r="Y34" s="58" t="str">
        <x:f>IF(AND(Y$11&gt;='업무대장'!$G27,Y$11&lt;='업무대장'!$H27),$D34,"")</x:f>
      </x:c>
    </x:row>
    <x:row r="35" ht="29" customHeight="1">
      <x:c r="A35" s="2" t="str">
        <x:f>'업무대장'!A28</x:f>
        <x:v>T19</x:v>
      </x:c>
      <x:c r="B35" s="2" t="str">
        <x:f>'업무대장'!B28</x:f>
        <x:v>웹·서비스</x:v>
      </x:c>
      <x:c r="C35" s="2" t="str">
        <x:f>'업무대장'!C28</x:f>
        <x:v>Flask 프로토타입 구현</x:v>
      </x:c>
      <x:c r="D35" s="55" t="str">
        <x:f>'업무대장'!D28</x:f>
        <x:v>HJ</x:v>
      </x:c>
      <x:c r="E35" s="55" t="str">
        <x:f>'업무대장'!I28</x:f>
        <x:v>계획</x:v>
      </x:c>
      <x:c r="F35" s="56" t="str">
        <x:f>IF(AND(F$11&gt;='업무대장'!$G28,F$11&lt;='업무대장'!$H28),$D35,"")</x:f>
      </x:c>
      <x:c r="G35" s="57" t="str">
        <x:f>IF(AND(G$11&gt;='업무대장'!$G28,G$11&lt;='업무대장'!$H28),$D35,"")</x:f>
      </x:c>
      <x:c r="H35" s="57" t="str">
        <x:f>IF(AND(H$11&gt;='업무대장'!$G28,H$11&lt;='업무대장'!$H28),$D35,"")</x:f>
      </x:c>
      <x:c r="I35" s="57" t="str">
        <x:f>IF(AND(I$11&gt;='업무대장'!$G28,I$11&lt;='업무대장'!$H28),$D35,"")</x:f>
      </x:c>
      <x:c r="J35" s="57" t="str">
        <x:f>IF(AND(J$11&gt;='업무대장'!$G28,J$11&lt;='업무대장'!$H28),$D35,"")</x:f>
      </x:c>
      <x:c r="K35" s="57" t="str">
        <x:f>IF(AND(K$11&gt;='업무대장'!$G28,K$11&lt;='업무대장'!$H28),$D35,"")</x:f>
      </x:c>
      <x:c r="L35" s="57" t="str">
        <x:f>IF(AND(L$11&gt;='업무대장'!$G28,L$11&lt;='업무대장'!$H28),$D35,"")</x:f>
      </x:c>
      <x:c r="M35" s="57" t="str">
        <x:f>IF(AND(M$11&gt;='업무대장'!$G28,M$11&lt;='업무대장'!$H28),$D35,"")</x:f>
      </x:c>
      <x:c r="N35" s="57" t="str">
        <x:f>IF(AND(N$11&gt;='업무대장'!$G28,N$11&lt;='업무대장'!$H28),$D35,"")</x:f>
      </x:c>
      <x:c r="O35" s="57" t="str">
        <x:f>IF(AND(O$11&gt;='업무대장'!$G28,O$11&lt;='업무대장'!$H28),$D35,"")</x:f>
      </x:c>
      <x:c r="P35" s="57" t="str">
        <x:f>IF(AND(P$11&gt;='업무대장'!$G28,P$11&lt;='업무대장'!$H28),$D35,"")</x:f>
      </x:c>
      <x:c r="Q35" s="57" t="str">
        <x:f>IF(AND(Q$11&gt;='업무대장'!$G28,Q$11&lt;='업무대장'!$H28),$D35,"")</x:f>
      </x:c>
      <x:c r="R35" s="57" t="str">
        <x:f>IF(AND(R$11&gt;='업무대장'!$G28,R$11&lt;='업무대장'!$H28),$D35,"")</x:f>
      </x:c>
      <x:c r="S35" s="61" t="str">
        <x:f>IF(AND(S$11&gt;='업무대장'!$G28,S$11&lt;='업무대장'!$H28),$D35,"")</x:f>
      </x:c>
      <x:c r="T35" s="57" t="str">
        <x:f>IF(AND(T$11&gt;='업무대장'!$G28,T$11&lt;='업무대장'!$H28),$D35,"")</x:f>
      </x:c>
      <x:c r="U35" s="57" t="str">
        <x:f>IF(AND(U$11&gt;='업무대장'!$G28,U$11&lt;='업무대장'!$H28),$D35,"")</x:f>
        <x:v>HJ</x:v>
      </x:c>
      <x:c r="V35" s="57" t="str">
        <x:f>IF(AND(V$11&gt;='업무대장'!$G28,V$11&lt;='업무대장'!$H28),$D35,"")</x:f>
        <x:v>HJ</x:v>
      </x:c>
      <x:c r="W35" s="57" t="str">
        <x:f>IF(AND(W$11&gt;='업무대장'!$G28,W$11&lt;='업무대장'!$H28),$D35,"")</x:f>
        <x:v>HJ</x:v>
      </x:c>
      <x:c r="X35" s="57" t="str">
        <x:f>IF(AND(X$11&gt;='업무대장'!$G28,X$11&lt;='업무대장'!$H28),$D35,"")</x:f>
      </x:c>
      <x:c r="Y35" s="58" t="str">
        <x:f>IF(AND(Y$11&gt;='업무대장'!$G28,Y$11&lt;='업무대장'!$H28),$D35,"")</x:f>
      </x:c>
    </x:row>
    <x:row r="36" ht="29" customHeight="1">
      <x:c r="A36" s="2" t="str">
        <x:f>'업무대장'!A29</x:f>
        <x:v>T20</x:v>
      </x:c>
      <x:c r="B36" s="2" t="str">
        <x:f>'업무대장'!B29</x:f>
        <x:v>웹·서비스</x:v>
      </x:c>
      <x:c r="C36" s="2" t="str">
        <x:f>'업무대장'!C29</x:f>
        <x:v>모델 연동·구동 점검</x:v>
      </x:c>
      <x:c r="D36" s="55" t="str">
        <x:f>'업무대장'!D29</x:f>
        <x:v>All</x:v>
      </x:c>
      <x:c r="E36" s="55" t="str">
        <x:f>'업무대장'!I29</x:f>
        <x:v>계획</x:v>
      </x:c>
      <x:c r="F36" s="56" t="str">
        <x:f>IF(AND(F$11&gt;='업무대장'!$G29,F$11&lt;='업무대장'!$H29),$D36,"")</x:f>
      </x:c>
      <x:c r="G36" s="57" t="str">
        <x:f>IF(AND(G$11&gt;='업무대장'!$G29,G$11&lt;='업무대장'!$H29),$D36,"")</x:f>
      </x:c>
      <x:c r="H36" s="57" t="str">
        <x:f>IF(AND(H$11&gt;='업무대장'!$G29,H$11&lt;='업무대장'!$H29),$D36,"")</x:f>
      </x:c>
      <x:c r="I36" s="57" t="str">
        <x:f>IF(AND(I$11&gt;='업무대장'!$G29,I$11&lt;='업무대장'!$H29),$D36,"")</x:f>
      </x:c>
      <x:c r="J36" s="57" t="str">
        <x:f>IF(AND(J$11&gt;='업무대장'!$G29,J$11&lt;='업무대장'!$H29),$D36,"")</x:f>
      </x:c>
      <x:c r="K36" s="57" t="str">
        <x:f>IF(AND(K$11&gt;='업무대장'!$G29,K$11&lt;='업무대장'!$H29),$D36,"")</x:f>
      </x:c>
      <x:c r="L36" s="57" t="str">
        <x:f>IF(AND(L$11&gt;='업무대장'!$G29,L$11&lt;='업무대장'!$H29),$D36,"")</x:f>
      </x:c>
      <x:c r="M36" s="57" t="str">
        <x:f>IF(AND(M$11&gt;='업무대장'!$G29,M$11&lt;='업무대장'!$H29),$D36,"")</x:f>
      </x:c>
      <x:c r="N36" s="57" t="str">
        <x:f>IF(AND(N$11&gt;='업무대장'!$G29,N$11&lt;='업무대장'!$H29),$D36,"")</x:f>
      </x:c>
      <x:c r="O36" s="57" t="str">
        <x:f>IF(AND(O$11&gt;='업무대장'!$G29,O$11&lt;='업무대장'!$H29),$D36,"")</x:f>
      </x:c>
      <x:c r="P36" s="57" t="str">
        <x:f>IF(AND(P$11&gt;='업무대장'!$G29,P$11&lt;='업무대장'!$H29),$D36,"")</x:f>
      </x:c>
      <x:c r="Q36" s="57" t="str">
        <x:f>IF(AND(Q$11&gt;='업무대장'!$G29,Q$11&lt;='업무대장'!$H29),$D36,"")</x:f>
      </x:c>
      <x:c r="R36" s="57" t="str">
        <x:f>IF(AND(R$11&gt;='업무대장'!$G29,R$11&lt;='업무대장'!$H29),$D36,"")</x:f>
      </x:c>
      <x:c r="S36" s="61" t="str">
        <x:f>IF(AND(S$11&gt;='업무대장'!$G29,S$11&lt;='업무대장'!$H29),$D36,"")</x:f>
      </x:c>
      <x:c r="T36" s="57" t="str">
        <x:f>IF(AND(T$11&gt;='업무대장'!$G29,T$11&lt;='업무대장'!$H29),$D36,"")</x:f>
      </x:c>
      <x:c r="U36" s="57" t="str">
        <x:f>IF(AND(U$11&gt;='업무대장'!$G29,U$11&lt;='업무대장'!$H29),$D36,"")</x:f>
      </x:c>
      <x:c r="V36" s="57" t="str">
        <x:f>IF(AND(V$11&gt;='업무대장'!$G29,V$11&lt;='업무대장'!$H29),$D36,"")</x:f>
      </x:c>
      <x:c r="W36" s="57" t="str">
        <x:f>IF(AND(W$11&gt;='업무대장'!$G29,W$11&lt;='업무대장'!$H29),$D36,"")</x:f>
        <x:v>All</x:v>
      </x:c>
      <x:c r="X36" s="57" t="str">
        <x:f>IF(AND(X$11&gt;='업무대장'!$G29,X$11&lt;='업무대장'!$H29),$D36,"")</x:f>
        <x:v>All</x:v>
      </x:c>
      <x:c r="Y36" s="58" t="str">
        <x:f>IF(AND(Y$11&gt;='업무대장'!$G29,Y$11&lt;='업무대장'!$H29),$D36,"")</x:f>
      </x:c>
    </x:row>
    <x:row r="37" ht="24" customHeight="1">
      <x:c r="A37" s="54" t="str">
        <x:v>발표·제출</x:v>
      </x:c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60"/>
      <x:c r="T37" s="54"/>
      <x:c r="U37" s="54"/>
      <x:c r="V37" s="54"/>
      <x:c r="W37" s="54"/>
      <x:c r="X37" s="54"/>
      <x:c r="Y37" s="54"/>
    </x:row>
    <x:row r="38" ht="29" customHeight="1">
      <x:c r="A38" s="2" t="str">
        <x:f>'업무대장'!A30</x:f>
        <x:v>T21</x:v>
      </x:c>
      <x:c r="B38" s="2" t="str">
        <x:f>'업무대장'!B30</x:f>
        <x:v>발표·제출</x:v>
      </x:c>
      <x:c r="C38" s="2" t="str">
        <x:f>'업무대장'!C30</x:f>
        <x:v>발표 웹·시각자료 초안</x:v>
      </x:c>
      <x:c r="D38" s="55" t="str">
        <x:f>'업무대장'!D30</x:f>
        <x:v>HJ</x:v>
      </x:c>
      <x:c r="E38" s="55" t="str">
        <x:f>'업무대장'!I30</x:f>
        <x:v>작성/팀검토대기</x:v>
      </x:c>
      <x:c r="F38" s="56" t="str">
        <x:f>IF(AND(F$11&gt;='업무대장'!$G30,F$11&lt;='업무대장'!$H30),$D38,"")</x:f>
      </x:c>
      <x:c r="G38" s="57" t="str">
        <x:f>IF(AND(G$11&gt;='업무대장'!$G30,G$11&lt;='업무대장'!$H30),$D38,"")</x:f>
      </x:c>
      <x:c r="H38" s="57" t="str">
        <x:f>IF(AND(H$11&gt;='업무대장'!$G30,H$11&lt;='업무대장'!$H30),$D38,"")</x:f>
      </x:c>
      <x:c r="I38" s="57" t="str">
        <x:f>IF(AND(I$11&gt;='업무대장'!$G30,I$11&lt;='업무대장'!$H30),$D38,"")</x:f>
      </x:c>
      <x:c r="J38" s="57" t="str">
        <x:f>IF(AND(J$11&gt;='업무대장'!$G30,J$11&lt;='업무대장'!$H30),$D38,"")</x:f>
      </x:c>
      <x:c r="K38" s="57" t="str">
        <x:f>IF(AND(K$11&gt;='업무대장'!$G30,K$11&lt;='업무대장'!$H30),$D38,"")</x:f>
      </x:c>
      <x:c r="L38" s="57" t="str">
        <x:f>IF(AND(L$11&gt;='업무대장'!$G30,L$11&lt;='업무대장'!$H30),$D38,"")</x:f>
      </x:c>
      <x:c r="M38" s="57" t="str">
        <x:f>IF(AND(M$11&gt;='업무대장'!$G30,M$11&lt;='업무대장'!$H30),$D38,"")</x:f>
      </x:c>
      <x:c r="N38" s="57" t="str">
        <x:f>IF(AND(N$11&gt;='업무대장'!$G30,N$11&lt;='업무대장'!$H30),$D38,"")</x:f>
      </x:c>
      <x:c r="O38" s="57" t="str">
        <x:f>IF(AND(O$11&gt;='업무대장'!$G30,O$11&lt;='업무대장'!$H30),$D38,"")</x:f>
      </x:c>
      <x:c r="P38" s="57" t="str">
        <x:f>IF(AND(P$11&gt;='업무대장'!$G30,P$11&lt;='업무대장'!$H30),$D38,"")</x:f>
      </x:c>
      <x:c r="Q38" s="57" t="str">
        <x:f>IF(AND(Q$11&gt;='업무대장'!$G30,Q$11&lt;='업무대장'!$H30),$D38,"")</x:f>
      </x:c>
      <x:c r="R38" s="57" t="str">
        <x:f>IF(AND(R$11&gt;='업무대장'!$G30,R$11&lt;='업무대장'!$H30),$D38,"")</x:f>
      </x:c>
      <x:c r="S38" s="61" t="str">
        <x:f>IF(AND(S$11&gt;='업무대장'!$G30,S$11&lt;='업무대장'!$H30),$D38,"")</x:f>
        <x:v>HJ</x:v>
      </x:c>
      <x:c r="T38" s="57" t="str">
        <x:f>IF(AND(T$11&gt;='업무대장'!$G30,T$11&lt;='업무대장'!$H30),$D38,"")</x:f>
      </x:c>
      <x:c r="U38" s="57" t="str">
        <x:f>IF(AND(U$11&gt;='업무대장'!$G30,U$11&lt;='업무대장'!$H30),$D38,"")</x:f>
      </x:c>
      <x:c r="V38" s="57" t="str">
        <x:f>IF(AND(V$11&gt;='업무대장'!$G30,V$11&lt;='업무대장'!$H30),$D38,"")</x:f>
      </x:c>
      <x:c r="W38" s="57" t="str">
        <x:f>IF(AND(W$11&gt;='업무대장'!$G30,W$11&lt;='업무대장'!$H30),$D38,"")</x:f>
      </x:c>
      <x:c r="X38" s="57" t="str">
        <x:f>IF(AND(X$11&gt;='업무대장'!$G30,X$11&lt;='업무대장'!$H30),$D38,"")</x:f>
      </x:c>
      <x:c r="Y38" s="58" t="str">
        <x:f>IF(AND(Y$11&gt;='업무대장'!$G30,Y$11&lt;='업무대장'!$H30),$D38,"")</x:f>
      </x:c>
    </x:row>
    <x:row r="39" ht="29" customHeight="1">
      <x:c r="A39" s="2" t="str">
        <x:f>'업무대장'!A31</x:f>
        <x:v>T22</x:v>
      </x:c>
      <x:c r="B39" s="2" t="str">
        <x:f>'업무대장'!B31</x:f>
        <x:v>발표·제출</x:v>
      </x:c>
      <x:c r="C39" s="2" t="str">
        <x:f>'업무대장'!C31</x:f>
        <x:v>프로젝트 관리표 작성</x:v>
      </x:c>
      <x:c r="D39" s="55" t="str">
        <x:f>'업무대장'!D31</x:f>
        <x:v>All</x:v>
      </x:c>
      <x:c r="E39" s="55" t="str">
        <x:f>'업무대장'!I31</x:f>
        <x:v>작성/팀검토대기</x:v>
      </x:c>
      <x:c r="F39" s="56" t="str">
        <x:f>IF(AND(F$11&gt;='업무대장'!$G31,F$11&lt;='업무대장'!$H31),$D39,"")</x:f>
      </x:c>
      <x:c r="G39" s="57" t="str">
        <x:f>IF(AND(G$11&gt;='업무대장'!$G31,G$11&lt;='업무대장'!$H31),$D39,"")</x:f>
      </x:c>
      <x:c r="H39" s="57" t="str">
        <x:f>IF(AND(H$11&gt;='업무대장'!$G31,H$11&lt;='업무대장'!$H31),$D39,"")</x:f>
      </x:c>
      <x:c r="I39" s="57" t="str">
        <x:f>IF(AND(I$11&gt;='업무대장'!$G31,I$11&lt;='업무대장'!$H31),$D39,"")</x:f>
      </x:c>
      <x:c r="J39" s="57" t="str">
        <x:f>IF(AND(J$11&gt;='업무대장'!$G31,J$11&lt;='업무대장'!$H31),$D39,"")</x:f>
      </x:c>
      <x:c r="K39" s="57" t="str">
        <x:f>IF(AND(K$11&gt;='업무대장'!$G31,K$11&lt;='업무대장'!$H31),$D39,"")</x:f>
      </x:c>
      <x:c r="L39" s="57" t="str">
        <x:f>IF(AND(L$11&gt;='업무대장'!$G31,L$11&lt;='업무대장'!$H31),$D39,"")</x:f>
      </x:c>
      <x:c r="M39" s="57" t="str">
        <x:f>IF(AND(M$11&gt;='업무대장'!$G31,M$11&lt;='업무대장'!$H31),$D39,"")</x:f>
      </x:c>
      <x:c r="N39" s="57" t="str">
        <x:f>IF(AND(N$11&gt;='업무대장'!$G31,N$11&lt;='업무대장'!$H31),$D39,"")</x:f>
      </x:c>
      <x:c r="O39" s="57" t="str">
        <x:f>IF(AND(O$11&gt;='업무대장'!$G31,O$11&lt;='업무대장'!$H31),$D39,"")</x:f>
      </x:c>
      <x:c r="P39" s="57" t="str">
        <x:f>IF(AND(P$11&gt;='업무대장'!$G31,P$11&lt;='업무대장'!$H31),$D39,"")</x:f>
      </x:c>
      <x:c r="Q39" s="57" t="str">
        <x:f>IF(AND(Q$11&gt;='업무대장'!$G31,Q$11&lt;='업무대장'!$H31),$D39,"")</x:f>
      </x:c>
      <x:c r="R39" s="57" t="str">
        <x:f>IF(AND(R$11&gt;='업무대장'!$G31,R$11&lt;='업무대장'!$H31),$D39,"")</x:f>
      </x:c>
      <x:c r="S39" s="61" t="str">
        <x:f>IF(AND(S$11&gt;='업무대장'!$G31,S$11&lt;='업무대장'!$H31),$D39,"")</x:f>
        <x:v>All</x:v>
      </x:c>
      <x:c r="T39" s="57" t="str">
        <x:f>IF(AND(T$11&gt;='업무대장'!$G31,T$11&lt;='업무대장'!$H31),$D39,"")</x:f>
      </x:c>
      <x:c r="U39" s="57" t="str">
        <x:f>IF(AND(U$11&gt;='업무대장'!$G31,U$11&lt;='업무대장'!$H31),$D39,"")</x:f>
      </x:c>
      <x:c r="V39" s="57" t="str">
        <x:f>IF(AND(V$11&gt;='업무대장'!$G31,V$11&lt;='업무대장'!$H31),$D39,"")</x:f>
      </x:c>
      <x:c r="W39" s="57" t="str">
        <x:f>IF(AND(W$11&gt;='업무대장'!$G31,W$11&lt;='업무대장'!$H31),$D39,"")</x:f>
      </x:c>
      <x:c r="X39" s="57" t="str">
        <x:f>IF(AND(X$11&gt;='업무대장'!$G31,X$11&lt;='업무대장'!$H31),$D39,"")</x:f>
      </x:c>
      <x:c r="Y39" s="58" t="str">
        <x:f>IF(AND(Y$11&gt;='업무대장'!$G31,Y$11&lt;='업무대장'!$H31),$D39,"")</x:f>
      </x:c>
    </x:row>
    <x:row r="40" ht="29" customHeight="1">
      <x:c r="A40" s="2" t="str">
        <x:f>'업무대장'!A32</x:f>
        <x:v>T23</x:v>
      </x:c>
      <x:c r="B40" s="2" t="str">
        <x:f>'업무대장'!B32</x:f>
        <x:v>발표·제출</x:v>
      </x:c>
      <x:c r="C40" s="2" t="str">
        <x:f>'업무대장'!C32</x:f>
        <x:v>보고서 검토·발표 리허설</x:v>
      </x:c>
      <x:c r="D40" s="55" t="str">
        <x:f>'업무대장'!D32</x:f>
        <x:v>All</x:v>
      </x:c>
      <x:c r="E40" s="55" t="str">
        <x:f>'업무대장'!I32</x:f>
        <x:v>계획</x:v>
      </x:c>
      <x:c r="F40" s="56" t="str">
        <x:f>IF(AND(F$11&gt;='업무대장'!$G32,F$11&lt;='업무대장'!$H32),$D40,"")</x:f>
      </x:c>
      <x:c r="G40" s="57" t="str">
        <x:f>IF(AND(G$11&gt;='업무대장'!$G32,G$11&lt;='업무대장'!$H32),$D40,"")</x:f>
      </x:c>
      <x:c r="H40" s="57" t="str">
        <x:f>IF(AND(H$11&gt;='업무대장'!$G32,H$11&lt;='업무대장'!$H32),$D40,"")</x:f>
      </x:c>
      <x:c r="I40" s="57" t="str">
        <x:f>IF(AND(I$11&gt;='업무대장'!$G32,I$11&lt;='업무대장'!$H32),$D40,"")</x:f>
      </x:c>
      <x:c r="J40" s="57" t="str">
        <x:f>IF(AND(J$11&gt;='업무대장'!$G32,J$11&lt;='업무대장'!$H32),$D40,"")</x:f>
      </x:c>
      <x:c r="K40" s="57" t="str">
        <x:f>IF(AND(K$11&gt;='업무대장'!$G32,K$11&lt;='업무대장'!$H32),$D40,"")</x:f>
      </x:c>
      <x:c r="L40" s="57" t="str">
        <x:f>IF(AND(L$11&gt;='업무대장'!$G32,L$11&lt;='업무대장'!$H32),$D40,"")</x:f>
      </x:c>
      <x:c r="M40" s="57" t="str">
        <x:f>IF(AND(M$11&gt;='업무대장'!$G32,M$11&lt;='업무대장'!$H32),$D40,"")</x:f>
      </x:c>
      <x:c r="N40" s="57" t="str">
        <x:f>IF(AND(N$11&gt;='업무대장'!$G32,N$11&lt;='업무대장'!$H32),$D40,"")</x:f>
      </x:c>
      <x:c r="O40" s="57" t="str">
        <x:f>IF(AND(O$11&gt;='업무대장'!$G32,O$11&lt;='업무대장'!$H32),$D40,"")</x:f>
      </x:c>
      <x:c r="P40" s="57" t="str">
        <x:f>IF(AND(P$11&gt;='업무대장'!$G32,P$11&lt;='업무대장'!$H32),$D40,"")</x:f>
      </x:c>
      <x:c r="Q40" s="57" t="str">
        <x:f>IF(AND(Q$11&gt;='업무대장'!$G32,Q$11&lt;='업무대장'!$H32),$D40,"")</x:f>
      </x:c>
      <x:c r="R40" s="57" t="str">
        <x:f>IF(AND(R$11&gt;='업무대장'!$G32,R$11&lt;='업무대장'!$H32),$D40,"")</x:f>
      </x:c>
      <x:c r="S40" s="61" t="str">
        <x:f>IF(AND(S$11&gt;='업무대장'!$G32,S$11&lt;='업무대장'!$H32),$D40,"")</x:f>
      </x:c>
      <x:c r="T40" s="57" t="str">
        <x:f>IF(AND(T$11&gt;='업무대장'!$G32,T$11&lt;='업무대장'!$H32),$D40,"")</x:f>
      </x:c>
      <x:c r="U40" s="57" t="str">
        <x:f>IF(AND(U$11&gt;='업무대장'!$G32,U$11&lt;='업무대장'!$H32),$D40,"")</x:f>
      </x:c>
      <x:c r="V40" s="57" t="str">
        <x:f>IF(AND(V$11&gt;='업무대장'!$G32,V$11&lt;='업무대장'!$H32),$D40,"")</x:f>
      </x:c>
      <x:c r="W40" s="57" t="str">
        <x:f>IF(AND(W$11&gt;='업무대장'!$G32,W$11&lt;='업무대장'!$H32),$D40,"")</x:f>
      </x:c>
      <x:c r="X40" s="57" t="str">
        <x:f>IF(AND(X$11&gt;='업무대장'!$G32,X$11&lt;='업무대장'!$H32),$D40,"")</x:f>
        <x:v>All</x:v>
      </x:c>
      <x:c r="Y40" s="58" t="str">
        <x:f>IF(AND(Y$11&gt;='업무대장'!$G32,Y$11&lt;='업무대장'!$H32),$D40,"")</x:f>
      </x:c>
    </x:row>
    <x:row r="41" ht="29" customHeight="1">
      <x:c r="A41" s="2" t="str">
        <x:f>'업무대장'!A33</x:f>
        <x:v>T24</x:v>
      </x:c>
      <x:c r="B41" s="2" t="str">
        <x:f>'업무대장'!B33</x:f>
        <x:v>발표·제출</x:v>
      </x:c>
      <x:c r="C41" s="2" t="str">
        <x:f>'업무대장'!C33</x:f>
        <x:v>최종 제출·회고</x:v>
      </x:c>
      <x:c r="D41" s="55" t="str">
        <x:f>'업무대장'!D33</x:f>
        <x:v>All</x:v>
      </x:c>
      <x:c r="E41" s="55" t="str">
        <x:f>'업무대장'!I33</x:f>
        <x:v>계획</x:v>
      </x:c>
      <x:c r="F41" s="56" t="str">
        <x:f>IF(AND(F$11&gt;='업무대장'!$G33,F$11&lt;='업무대장'!$H33),$D41,"")</x:f>
      </x:c>
      <x:c r="G41" s="57" t="str">
        <x:f>IF(AND(G$11&gt;='업무대장'!$G33,G$11&lt;='업무대장'!$H33),$D41,"")</x:f>
      </x:c>
      <x:c r="H41" s="57" t="str">
        <x:f>IF(AND(H$11&gt;='업무대장'!$G33,H$11&lt;='업무대장'!$H33),$D41,"")</x:f>
      </x:c>
      <x:c r="I41" s="57" t="str">
        <x:f>IF(AND(I$11&gt;='업무대장'!$G33,I$11&lt;='업무대장'!$H33),$D41,"")</x:f>
      </x:c>
      <x:c r="J41" s="57" t="str">
        <x:f>IF(AND(J$11&gt;='업무대장'!$G33,J$11&lt;='업무대장'!$H33),$D41,"")</x:f>
      </x:c>
      <x:c r="K41" s="57" t="str">
        <x:f>IF(AND(K$11&gt;='업무대장'!$G33,K$11&lt;='업무대장'!$H33),$D41,"")</x:f>
      </x:c>
      <x:c r="L41" s="57" t="str">
        <x:f>IF(AND(L$11&gt;='업무대장'!$G33,L$11&lt;='업무대장'!$H33),$D41,"")</x:f>
      </x:c>
      <x:c r="M41" s="57" t="str">
        <x:f>IF(AND(M$11&gt;='업무대장'!$G33,M$11&lt;='업무대장'!$H33),$D41,"")</x:f>
      </x:c>
      <x:c r="N41" s="57" t="str">
        <x:f>IF(AND(N$11&gt;='업무대장'!$G33,N$11&lt;='업무대장'!$H33),$D41,"")</x:f>
      </x:c>
      <x:c r="O41" s="57" t="str">
        <x:f>IF(AND(O$11&gt;='업무대장'!$G33,O$11&lt;='업무대장'!$H33),$D41,"")</x:f>
      </x:c>
      <x:c r="P41" s="57" t="str">
        <x:f>IF(AND(P$11&gt;='업무대장'!$G33,P$11&lt;='업무대장'!$H33),$D41,"")</x:f>
      </x:c>
      <x:c r="Q41" s="57" t="str">
        <x:f>IF(AND(Q$11&gt;='업무대장'!$G33,Q$11&lt;='업무대장'!$H33),$D41,"")</x:f>
      </x:c>
      <x:c r="R41" s="57" t="str">
        <x:f>IF(AND(R$11&gt;='업무대장'!$G33,R$11&lt;='업무대장'!$H33),$D41,"")</x:f>
      </x:c>
      <x:c r="S41" s="62" t="str">
        <x:f>IF(AND(S$11&gt;='업무대장'!$G33,S$11&lt;='업무대장'!$H33),$D41,"")</x:f>
      </x:c>
      <x:c r="T41" s="57" t="str">
        <x:f>IF(AND(T$11&gt;='업무대장'!$G33,T$11&lt;='업무대장'!$H33),$D41,"")</x:f>
      </x:c>
      <x:c r="U41" s="57" t="str">
        <x:f>IF(AND(U$11&gt;='업무대장'!$G33,U$11&lt;='업무대장'!$H33),$D41,"")</x:f>
      </x:c>
      <x:c r="V41" s="57" t="str">
        <x:f>IF(AND(V$11&gt;='업무대장'!$G33,V$11&lt;='업무대장'!$H33),$D41,"")</x:f>
      </x:c>
      <x:c r="W41" s="57" t="str">
        <x:f>IF(AND(W$11&gt;='업무대장'!$G33,W$11&lt;='업무대장'!$H33),$D41,"")</x:f>
      </x:c>
      <x:c r="X41" s="57" t="str">
        <x:f>IF(AND(X$11&gt;='업무대장'!$G33,X$11&lt;='업무대장'!$H33),$D41,"")</x:f>
      </x:c>
      <x:c r="Y41" s="58" t="str">
        <x:f>IF(AND(Y$11&gt;='업무대장'!$G33,Y$11&lt;='업무대장'!$H33),$D41,"")</x:f>
        <x:v>All</x:v>
      </x:c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</x:sheetData>
  <x:mergeCells>
    <x:mergeCell ref="A2:Y2"/>
    <x:mergeCell ref="A3:Y3"/>
    <x:mergeCell ref="I4:Y4"/>
    <x:mergeCell ref="A6:C6"/>
    <x:mergeCell ref="E6:G6"/>
    <x:mergeCell ref="I6:K6"/>
    <x:mergeCell ref="M6:O6"/>
    <x:mergeCell ref="Q6:Y6"/>
    <x:mergeCell ref="A8:E8"/>
    <x:mergeCell ref="F8:J8"/>
    <x:mergeCell ref="K8:O8"/>
    <x:mergeCell ref="P8:T8"/>
    <x:mergeCell ref="U8:Y8"/>
    <x:mergeCell ref="A9:Y9"/>
    <x:mergeCell ref="A12:Y12"/>
    <x:mergeCell ref="A15:Y15"/>
    <x:mergeCell ref="A21:Y21"/>
    <x:mergeCell ref="A27:Y27"/>
    <x:mergeCell ref="A33:Y33"/>
    <x:mergeCell ref="A37:Y37"/>
  </x:mergeCells>
  <x:conditionalFormatting sqref="F13:Y13">
    <x:cfRule type="containsText" dxfId="7" priority="1" operator="containsText" text="DA"/>
    <x:cfRule type="containsText" dxfId="8" priority="2" operator="containsText" text="RA"/>
    <x:cfRule type="containsText" dxfId="9" priority="3" operator="containsText" text="PA"/>
    <x:cfRule type="containsText" dxfId="10" priority="4" operator="containsText" text="HJ"/>
    <x:cfRule type="containsText" dxfId="11" priority="5" operator="containsText" text="All"/>
  </x:conditionalFormatting>
  <x:conditionalFormatting sqref="D13:D13">
    <x:cfRule type="containsText" dxfId="12" priority="6" operator="containsText" text="DA"/>
    <x:cfRule type="containsText" dxfId="13" priority="7" operator="containsText" text="RA"/>
    <x:cfRule type="containsText" dxfId="14" priority="8" operator="containsText" text="PA"/>
    <x:cfRule type="containsText" dxfId="15" priority="9" operator="containsText" text="HJ"/>
    <x:cfRule type="containsText" dxfId="16" priority="10" operator="containsText" text="All"/>
  </x:conditionalFormatting>
  <x:conditionalFormatting sqref="F14:Y14">
    <x:cfRule type="containsText" dxfId="17" priority="11" operator="containsText" text="DA"/>
    <x:cfRule type="containsText" dxfId="18" priority="12" operator="containsText" text="RA"/>
    <x:cfRule type="containsText" dxfId="19" priority="13" operator="containsText" text="PA"/>
    <x:cfRule type="containsText" dxfId="20" priority="14" operator="containsText" text="HJ"/>
    <x:cfRule type="containsText" dxfId="21" priority="15" operator="containsText" text="All"/>
  </x:conditionalFormatting>
  <x:conditionalFormatting sqref="D14:D14">
    <x:cfRule type="containsText" dxfId="22" priority="16" operator="containsText" text="DA"/>
    <x:cfRule type="containsText" dxfId="23" priority="17" operator="containsText" text="RA"/>
    <x:cfRule type="containsText" dxfId="24" priority="18" operator="containsText" text="PA"/>
    <x:cfRule type="containsText" dxfId="25" priority="19" operator="containsText" text="HJ"/>
    <x:cfRule type="containsText" dxfId="26" priority="20" operator="containsText" text="All"/>
  </x:conditionalFormatting>
  <x:conditionalFormatting sqref="F16:Y16">
    <x:cfRule type="containsText" dxfId="27" priority="21" operator="containsText" text="DA"/>
    <x:cfRule type="containsText" dxfId="28" priority="22" operator="containsText" text="RA"/>
    <x:cfRule type="containsText" dxfId="29" priority="23" operator="containsText" text="PA"/>
    <x:cfRule type="containsText" dxfId="30" priority="24" operator="containsText" text="HJ"/>
    <x:cfRule type="containsText" dxfId="31" priority="25" operator="containsText" text="All"/>
  </x:conditionalFormatting>
  <x:conditionalFormatting sqref="D16:D16">
    <x:cfRule type="containsText" dxfId="32" priority="26" operator="containsText" text="DA"/>
    <x:cfRule type="containsText" dxfId="33" priority="27" operator="containsText" text="RA"/>
    <x:cfRule type="containsText" dxfId="34" priority="28" operator="containsText" text="PA"/>
    <x:cfRule type="containsText" dxfId="35" priority="29" operator="containsText" text="HJ"/>
    <x:cfRule type="containsText" dxfId="36" priority="30" operator="containsText" text="All"/>
  </x:conditionalFormatting>
  <x:conditionalFormatting sqref="F17:Y17">
    <x:cfRule type="containsText" dxfId="37" priority="31" operator="containsText" text="DA"/>
    <x:cfRule type="containsText" dxfId="38" priority="32" operator="containsText" text="RA"/>
    <x:cfRule type="containsText" dxfId="39" priority="33" operator="containsText" text="PA"/>
    <x:cfRule type="containsText" dxfId="40" priority="34" operator="containsText" text="HJ"/>
    <x:cfRule type="containsText" dxfId="41" priority="35" operator="containsText" text="All"/>
  </x:conditionalFormatting>
  <x:conditionalFormatting sqref="D17:D17">
    <x:cfRule type="containsText" dxfId="42" priority="36" operator="containsText" text="DA"/>
    <x:cfRule type="containsText" dxfId="43" priority="37" operator="containsText" text="RA"/>
    <x:cfRule type="containsText" dxfId="44" priority="38" operator="containsText" text="PA"/>
    <x:cfRule type="containsText" dxfId="45" priority="39" operator="containsText" text="HJ"/>
    <x:cfRule type="containsText" dxfId="46" priority="40" operator="containsText" text="All"/>
  </x:conditionalFormatting>
  <x:conditionalFormatting sqref="F18:Y18">
    <x:cfRule type="containsText" dxfId="47" priority="41" operator="containsText" text="DA"/>
    <x:cfRule type="containsText" dxfId="48" priority="42" operator="containsText" text="RA"/>
    <x:cfRule type="containsText" dxfId="49" priority="43" operator="containsText" text="PA"/>
    <x:cfRule type="containsText" dxfId="50" priority="44" operator="containsText" text="HJ"/>
    <x:cfRule type="containsText" dxfId="51" priority="45" operator="containsText" text="All"/>
  </x:conditionalFormatting>
  <x:conditionalFormatting sqref="D18:D18">
    <x:cfRule type="containsText" dxfId="52" priority="46" operator="containsText" text="DA"/>
    <x:cfRule type="containsText" dxfId="53" priority="47" operator="containsText" text="RA"/>
    <x:cfRule type="containsText" dxfId="54" priority="48" operator="containsText" text="PA"/>
    <x:cfRule type="containsText" dxfId="55" priority="49" operator="containsText" text="HJ"/>
    <x:cfRule type="containsText" dxfId="56" priority="50" operator="containsText" text="All"/>
  </x:conditionalFormatting>
  <x:conditionalFormatting sqref="F19:Y19">
    <x:cfRule type="containsText" dxfId="57" priority="51" operator="containsText" text="DA"/>
    <x:cfRule type="containsText" dxfId="58" priority="52" operator="containsText" text="RA"/>
    <x:cfRule type="containsText" dxfId="59" priority="53" operator="containsText" text="PA"/>
    <x:cfRule type="containsText" dxfId="60" priority="54" operator="containsText" text="HJ"/>
    <x:cfRule type="containsText" dxfId="61" priority="55" operator="containsText" text="All"/>
  </x:conditionalFormatting>
  <x:conditionalFormatting sqref="D19:D19">
    <x:cfRule type="containsText" dxfId="62" priority="56" operator="containsText" text="DA"/>
    <x:cfRule type="containsText" dxfId="63" priority="57" operator="containsText" text="RA"/>
    <x:cfRule type="containsText" dxfId="64" priority="58" operator="containsText" text="PA"/>
    <x:cfRule type="containsText" dxfId="65" priority="59" operator="containsText" text="HJ"/>
    <x:cfRule type="containsText" dxfId="66" priority="60" operator="containsText" text="All"/>
  </x:conditionalFormatting>
  <x:conditionalFormatting sqref="F20:Y20">
    <x:cfRule type="containsText" dxfId="67" priority="61" operator="containsText" text="DA"/>
    <x:cfRule type="containsText" dxfId="68" priority="62" operator="containsText" text="RA"/>
    <x:cfRule type="containsText" dxfId="69" priority="63" operator="containsText" text="PA"/>
    <x:cfRule type="containsText" dxfId="70" priority="64" operator="containsText" text="HJ"/>
    <x:cfRule type="containsText" dxfId="71" priority="65" operator="containsText" text="All"/>
  </x:conditionalFormatting>
  <x:conditionalFormatting sqref="D20:D20">
    <x:cfRule type="containsText" dxfId="72" priority="66" operator="containsText" text="DA"/>
    <x:cfRule type="containsText" dxfId="73" priority="67" operator="containsText" text="RA"/>
    <x:cfRule type="containsText" dxfId="74" priority="68" operator="containsText" text="PA"/>
    <x:cfRule type="containsText" dxfId="75" priority="69" operator="containsText" text="HJ"/>
    <x:cfRule type="containsText" dxfId="76" priority="70" operator="containsText" text="All"/>
  </x:conditionalFormatting>
  <x:conditionalFormatting sqref="F22:Y22">
    <x:cfRule type="containsText" dxfId="77" priority="71" operator="containsText" text="DA"/>
    <x:cfRule type="containsText" dxfId="78" priority="72" operator="containsText" text="RA"/>
    <x:cfRule type="containsText" dxfId="79" priority="73" operator="containsText" text="PA"/>
    <x:cfRule type="containsText" dxfId="80" priority="74" operator="containsText" text="HJ"/>
    <x:cfRule type="containsText" dxfId="81" priority="75" operator="containsText" text="All"/>
  </x:conditionalFormatting>
  <x:conditionalFormatting sqref="D22:D22">
    <x:cfRule type="containsText" dxfId="82" priority="76" operator="containsText" text="DA"/>
    <x:cfRule type="containsText" dxfId="83" priority="77" operator="containsText" text="RA"/>
    <x:cfRule type="containsText" dxfId="84" priority="78" operator="containsText" text="PA"/>
    <x:cfRule type="containsText" dxfId="85" priority="79" operator="containsText" text="HJ"/>
    <x:cfRule type="containsText" dxfId="86" priority="80" operator="containsText" text="All"/>
  </x:conditionalFormatting>
  <x:conditionalFormatting sqref="F23:Y23">
    <x:cfRule type="containsText" dxfId="87" priority="81" operator="containsText" text="DA"/>
    <x:cfRule type="containsText" dxfId="88" priority="82" operator="containsText" text="RA"/>
    <x:cfRule type="containsText" dxfId="89" priority="83" operator="containsText" text="PA"/>
    <x:cfRule type="containsText" dxfId="90" priority="84" operator="containsText" text="HJ"/>
    <x:cfRule type="containsText" dxfId="91" priority="85" operator="containsText" text="All"/>
  </x:conditionalFormatting>
  <x:conditionalFormatting sqref="D23:D23">
    <x:cfRule type="containsText" dxfId="92" priority="86" operator="containsText" text="DA"/>
    <x:cfRule type="containsText" dxfId="93" priority="87" operator="containsText" text="RA"/>
    <x:cfRule type="containsText" dxfId="94" priority="88" operator="containsText" text="PA"/>
    <x:cfRule type="containsText" dxfId="95" priority="89" operator="containsText" text="HJ"/>
    <x:cfRule type="containsText" dxfId="96" priority="90" operator="containsText" text="All"/>
  </x:conditionalFormatting>
  <x:conditionalFormatting sqref="F24:Y24">
    <x:cfRule type="containsText" dxfId="97" priority="91" operator="containsText" text="DA"/>
    <x:cfRule type="containsText" dxfId="98" priority="92" operator="containsText" text="RA"/>
    <x:cfRule type="containsText" dxfId="99" priority="93" operator="containsText" text="PA"/>
    <x:cfRule type="containsText" dxfId="100" priority="94" operator="containsText" text="HJ"/>
    <x:cfRule type="containsText" dxfId="101" priority="95" operator="containsText" text="All"/>
  </x:conditionalFormatting>
  <x:conditionalFormatting sqref="D24:D24">
    <x:cfRule type="containsText" dxfId="102" priority="96" operator="containsText" text="DA"/>
    <x:cfRule type="containsText" dxfId="103" priority="97" operator="containsText" text="RA"/>
    <x:cfRule type="containsText" dxfId="104" priority="98" operator="containsText" text="PA"/>
    <x:cfRule type="containsText" dxfId="105" priority="99" operator="containsText" text="HJ"/>
    <x:cfRule type="containsText" dxfId="106" priority="100" operator="containsText" text="All"/>
  </x:conditionalFormatting>
  <x:conditionalFormatting sqref="F25:Y25">
    <x:cfRule type="containsText" dxfId="107" priority="101" operator="containsText" text="DA"/>
    <x:cfRule type="containsText" dxfId="108" priority="102" operator="containsText" text="RA"/>
    <x:cfRule type="containsText" dxfId="109" priority="103" operator="containsText" text="PA"/>
    <x:cfRule type="containsText" dxfId="110" priority="104" operator="containsText" text="HJ"/>
    <x:cfRule type="containsText" dxfId="111" priority="105" operator="containsText" text="All"/>
  </x:conditionalFormatting>
  <x:conditionalFormatting sqref="D25:D25">
    <x:cfRule type="containsText" dxfId="112" priority="106" operator="containsText" text="DA"/>
    <x:cfRule type="containsText" dxfId="113" priority="107" operator="containsText" text="RA"/>
    <x:cfRule type="containsText" dxfId="114" priority="108" operator="containsText" text="PA"/>
    <x:cfRule type="containsText" dxfId="115" priority="109" operator="containsText" text="HJ"/>
    <x:cfRule type="containsText" dxfId="116" priority="110" operator="containsText" text="All"/>
  </x:conditionalFormatting>
  <x:conditionalFormatting sqref="F26:Y26">
    <x:cfRule type="containsText" dxfId="117" priority="111" operator="containsText" text="DA"/>
    <x:cfRule type="containsText" dxfId="118" priority="112" operator="containsText" text="RA"/>
    <x:cfRule type="containsText" dxfId="119" priority="113" operator="containsText" text="PA"/>
    <x:cfRule type="containsText" dxfId="120" priority="114" operator="containsText" text="HJ"/>
    <x:cfRule type="containsText" dxfId="121" priority="115" operator="containsText" text="All"/>
  </x:conditionalFormatting>
  <x:conditionalFormatting sqref="D26:D26">
    <x:cfRule type="containsText" dxfId="122" priority="116" operator="containsText" text="DA"/>
    <x:cfRule type="containsText" dxfId="123" priority="117" operator="containsText" text="RA"/>
    <x:cfRule type="containsText" dxfId="124" priority="118" operator="containsText" text="PA"/>
    <x:cfRule type="containsText" dxfId="125" priority="119" operator="containsText" text="HJ"/>
    <x:cfRule type="containsText" dxfId="126" priority="120" operator="containsText" text="All"/>
  </x:conditionalFormatting>
  <x:conditionalFormatting sqref="F28:Y28">
    <x:cfRule type="containsText" dxfId="127" priority="121" operator="containsText" text="DA"/>
    <x:cfRule type="containsText" dxfId="128" priority="122" operator="containsText" text="RA"/>
    <x:cfRule type="containsText" dxfId="129" priority="123" operator="containsText" text="PA"/>
    <x:cfRule type="containsText" dxfId="130" priority="124" operator="containsText" text="HJ"/>
    <x:cfRule type="containsText" dxfId="131" priority="125" operator="containsText" text="All"/>
  </x:conditionalFormatting>
  <x:conditionalFormatting sqref="D28:D28">
    <x:cfRule type="containsText" dxfId="132" priority="126" operator="containsText" text="DA"/>
    <x:cfRule type="containsText" dxfId="133" priority="127" operator="containsText" text="RA"/>
    <x:cfRule type="containsText" dxfId="134" priority="128" operator="containsText" text="PA"/>
    <x:cfRule type="containsText" dxfId="135" priority="129" operator="containsText" text="HJ"/>
    <x:cfRule type="containsText" dxfId="136" priority="130" operator="containsText" text="All"/>
  </x:conditionalFormatting>
  <x:conditionalFormatting sqref="F29:Y29">
    <x:cfRule type="containsText" dxfId="137" priority="131" operator="containsText" text="DA"/>
    <x:cfRule type="containsText" dxfId="138" priority="132" operator="containsText" text="RA"/>
    <x:cfRule type="containsText" dxfId="139" priority="133" operator="containsText" text="PA"/>
    <x:cfRule type="containsText" dxfId="140" priority="134" operator="containsText" text="HJ"/>
    <x:cfRule type="containsText" dxfId="141" priority="135" operator="containsText" text="All"/>
  </x:conditionalFormatting>
  <x:conditionalFormatting sqref="D29:D29">
    <x:cfRule type="containsText" dxfId="142" priority="136" operator="containsText" text="DA"/>
    <x:cfRule type="containsText" dxfId="143" priority="137" operator="containsText" text="RA"/>
    <x:cfRule type="containsText" dxfId="144" priority="138" operator="containsText" text="PA"/>
    <x:cfRule type="containsText" dxfId="145" priority="139" operator="containsText" text="HJ"/>
    <x:cfRule type="containsText" dxfId="146" priority="140" operator="containsText" text="All"/>
  </x:conditionalFormatting>
  <x:conditionalFormatting sqref="F30:Y30">
    <x:cfRule type="containsText" dxfId="147" priority="141" operator="containsText" text="DA"/>
    <x:cfRule type="containsText" dxfId="148" priority="142" operator="containsText" text="RA"/>
    <x:cfRule type="containsText" dxfId="149" priority="143" operator="containsText" text="PA"/>
    <x:cfRule type="containsText" dxfId="150" priority="144" operator="containsText" text="HJ"/>
    <x:cfRule type="containsText" dxfId="151" priority="145" operator="containsText" text="All"/>
  </x:conditionalFormatting>
  <x:conditionalFormatting sqref="D30:D30">
    <x:cfRule type="containsText" dxfId="152" priority="146" operator="containsText" text="DA"/>
    <x:cfRule type="containsText" dxfId="153" priority="147" operator="containsText" text="RA"/>
    <x:cfRule type="containsText" dxfId="154" priority="148" operator="containsText" text="PA"/>
    <x:cfRule type="containsText" dxfId="155" priority="149" operator="containsText" text="HJ"/>
    <x:cfRule type="containsText" dxfId="156" priority="150" operator="containsText" text="All"/>
  </x:conditionalFormatting>
  <x:conditionalFormatting sqref="F31:Y31">
    <x:cfRule type="containsText" dxfId="157" priority="151" operator="containsText" text="DA"/>
    <x:cfRule type="containsText" dxfId="158" priority="152" operator="containsText" text="RA"/>
    <x:cfRule type="containsText" dxfId="159" priority="153" operator="containsText" text="PA"/>
    <x:cfRule type="containsText" dxfId="160" priority="154" operator="containsText" text="HJ"/>
    <x:cfRule type="containsText" dxfId="161" priority="155" operator="containsText" text="All"/>
  </x:conditionalFormatting>
  <x:conditionalFormatting sqref="D31:D31">
    <x:cfRule type="containsText" dxfId="162" priority="156" operator="containsText" text="DA"/>
    <x:cfRule type="containsText" dxfId="163" priority="157" operator="containsText" text="RA"/>
    <x:cfRule type="containsText" dxfId="164" priority="158" operator="containsText" text="PA"/>
    <x:cfRule type="containsText" dxfId="165" priority="159" operator="containsText" text="HJ"/>
    <x:cfRule type="containsText" dxfId="166" priority="160" operator="containsText" text="All"/>
  </x:conditionalFormatting>
  <x:conditionalFormatting sqref="F32:Y32">
    <x:cfRule type="containsText" dxfId="167" priority="161" operator="containsText" text="DA"/>
    <x:cfRule type="containsText" dxfId="168" priority="162" operator="containsText" text="RA"/>
    <x:cfRule type="containsText" dxfId="169" priority="163" operator="containsText" text="PA"/>
    <x:cfRule type="containsText" dxfId="170" priority="164" operator="containsText" text="HJ"/>
    <x:cfRule type="containsText" dxfId="171" priority="165" operator="containsText" text="All"/>
  </x:conditionalFormatting>
  <x:conditionalFormatting sqref="D32:D32">
    <x:cfRule type="containsText" dxfId="172" priority="166" operator="containsText" text="DA"/>
    <x:cfRule type="containsText" dxfId="173" priority="167" operator="containsText" text="RA"/>
    <x:cfRule type="containsText" dxfId="174" priority="168" operator="containsText" text="PA"/>
    <x:cfRule type="containsText" dxfId="175" priority="169" operator="containsText" text="HJ"/>
    <x:cfRule type="containsText" dxfId="176" priority="170" operator="containsText" text="All"/>
  </x:conditionalFormatting>
  <x:conditionalFormatting sqref="F34:Y34">
    <x:cfRule type="containsText" dxfId="177" priority="171" operator="containsText" text="DA"/>
    <x:cfRule type="containsText" dxfId="178" priority="172" operator="containsText" text="RA"/>
    <x:cfRule type="containsText" dxfId="179" priority="173" operator="containsText" text="PA"/>
    <x:cfRule type="containsText" dxfId="180" priority="174" operator="containsText" text="HJ"/>
    <x:cfRule type="containsText" dxfId="181" priority="175" operator="containsText" text="All"/>
  </x:conditionalFormatting>
  <x:conditionalFormatting sqref="D34:D34">
    <x:cfRule type="containsText" dxfId="182" priority="176" operator="containsText" text="DA"/>
    <x:cfRule type="containsText" dxfId="183" priority="177" operator="containsText" text="RA"/>
    <x:cfRule type="containsText" dxfId="184" priority="178" operator="containsText" text="PA"/>
    <x:cfRule type="containsText" dxfId="185" priority="179" operator="containsText" text="HJ"/>
    <x:cfRule type="containsText" dxfId="186" priority="180" operator="containsText" text="All"/>
  </x:conditionalFormatting>
  <x:conditionalFormatting sqref="F35:Y35">
    <x:cfRule type="containsText" dxfId="187" priority="181" operator="containsText" text="DA"/>
    <x:cfRule type="containsText" dxfId="188" priority="182" operator="containsText" text="RA"/>
    <x:cfRule type="containsText" dxfId="189" priority="183" operator="containsText" text="PA"/>
    <x:cfRule type="containsText" dxfId="190" priority="184" operator="containsText" text="HJ"/>
    <x:cfRule type="containsText" dxfId="191" priority="185" operator="containsText" text="All"/>
  </x:conditionalFormatting>
  <x:conditionalFormatting sqref="D35:D35">
    <x:cfRule type="containsText" dxfId="192" priority="186" operator="containsText" text="DA"/>
    <x:cfRule type="containsText" dxfId="193" priority="187" operator="containsText" text="RA"/>
    <x:cfRule type="containsText" dxfId="194" priority="188" operator="containsText" text="PA"/>
    <x:cfRule type="containsText" dxfId="195" priority="189" operator="containsText" text="HJ"/>
    <x:cfRule type="containsText" dxfId="196" priority="190" operator="containsText" text="All"/>
  </x:conditionalFormatting>
  <x:conditionalFormatting sqref="F36:Y36">
    <x:cfRule type="containsText" dxfId="197" priority="191" operator="containsText" text="DA"/>
    <x:cfRule type="containsText" dxfId="198" priority="192" operator="containsText" text="RA"/>
    <x:cfRule type="containsText" dxfId="199" priority="193" operator="containsText" text="PA"/>
    <x:cfRule type="containsText" dxfId="200" priority="194" operator="containsText" text="HJ"/>
    <x:cfRule type="containsText" dxfId="201" priority="195" operator="containsText" text="All"/>
  </x:conditionalFormatting>
  <x:conditionalFormatting sqref="D36:D36">
    <x:cfRule type="containsText" dxfId="202" priority="196" operator="containsText" text="DA"/>
    <x:cfRule type="containsText" dxfId="203" priority="197" operator="containsText" text="RA"/>
    <x:cfRule type="containsText" dxfId="204" priority="198" operator="containsText" text="PA"/>
    <x:cfRule type="containsText" dxfId="205" priority="199" operator="containsText" text="HJ"/>
    <x:cfRule type="containsText" dxfId="206" priority="200" operator="containsText" text="All"/>
  </x:conditionalFormatting>
  <x:conditionalFormatting sqref="F38:Y38">
    <x:cfRule type="containsText" dxfId="207" priority="201" operator="containsText" text="DA"/>
    <x:cfRule type="containsText" dxfId="208" priority="202" operator="containsText" text="RA"/>
    <x:cfRule type="containsText" dxfId="209" priority="203" operator="containsText" text="PA"/>
    <x:cfRule type="containsText" dxfId="210" priority="204" operator="containsText" text="HJ"/>
    <x:cfRule type="containsText" dxfId="211" priority="205" operator="containsText" text="All"/>
  </x:conditionalFormatting>
  <x:conditionalFormatting sqref="D38:D38">
    <x:cfRule type="containsText" dxfId="212" priority="206" operator="containsText" text="DA"/>
    <x:cfRule type="containsText" dxfId="213" priority="207" operator="containsText" text="RA"/>
    <x:cfRule type="containsText" dxfId="214" priority="208" operator="containsText" text="PA"/>
    <x:cfRule type="containsText" dxfId="215" priority="209" operator="containsText" text="HJ"/>
    <x:cfRule type="containsText" dxfId="216" priority="210" operator="containsText" text="All"/>
  </x:conditionalFormatting>
  <x:conditionalFormatting sqref="F39:Y39">
    <x:cfRule type="containsText" dxfId="217" priority="211" operator="containsText" text="DA"/>
    <x:cfRule type="containsText" dxfId="218" priority="212" operator="containsText" text="RA"/>
    <x:cfRule type="containsText" dxfId="219" priority="213" operator="containsText" text="PA"/>
    <x:cfRule type="containsText" dxfId="220" priority="214" operator="containsText" text="HJ"/>
    <x:cfRule type="containsText" dxfId="221" priority="215" operator="containsText" text="All"/>
  </x:conditionalFormatting>
  <x:conditionalFormatting sqref="D39:D39">
    <x:cfRule type="containsText" dxfId="222" priority="216" operator="containsText" text="DA"/>
    <x:cfRule type="containsText" dxfId="223" priority="217" operator="containsText" text="RA"/>
    <x:cfRule type="containsText" dxfId="224" priority="218" operator="containsText" text="PA"/>
    <x:cfRule type="containsText" dxfId="225" priority="219" operator="containsText" text="HJ"/>
    <x:cfRule type="containsText" dxfId="226" priority="220" operator="containsText" text="All"/>
  </x:conditionalFormatting>
  <x:conditionalFormatting sqref="F40:Y40">
    <x:cfRule type="containsText" dxfId="227" priority="221" operator="containsText" text="DA"/>
    <x:cfRule type="containsText" dxfId="228" priority="222" operator="containsText" text="RA"/>
    <x:cfRule type="containsText" dxfId="229" priority="223" operator="containsText" text="PA"/>
    <x:cfRule type="containsText" dxfId="230" priority="224" operator="containsText" text="HJ"/>
    <x:cfRule type="containsText" dxfId="231" priority="225" operator="containsText" text="All"/>
  </x:conditionalFormatting>
  <x:conditionalFormatting sqref="D40:D40">
    <x:cfRule type="containsText" dxfId="232" priority="226" operator="containsText" text="DA"/>
    <x:cfRule type="containsText" dxfId="233" priority="227" operator="containsText" text="RA"/>
    <x:cfRule type="containsText" dxfId="234" priority="228" operator="containsText" text="PA"/>
    <x:cfRule type="containsText" dxfId="235" priority="229" operator="containsText" text="HJ"/>
    <x:cfRule type="containsText" dxfId="236" priority="230" operator="containsText" text="All"/>
  </x:conditionalFormatting>
  <x:conditionalFormatting sqref="F41:Y41">
    <x:cfRule type="containsText" dxfId="237" priority="231" operator="containsText" text="DA"/>
    <x:cfRule type="containsText" dxfId="238" priority="232" operator="containsText" text="RA"/>
    <x:cfRule type="containsText" dxfId="239" priority="233" operator="containsText" text="PA"/>
    <x:cfRule type="containsText" dxfId="240" priority="234" operator="containsText" text="HJ"/>
    <x:cfRule type="containsText" dxfId="241" priority="235" operator="containsText" text="All"/>
  </x:conditionalFormatting>
  <x:conditionalFormatting sqref="D41:D41">
    <x:cfRule type="containsText" dxfId="242" priority="236" operator="containsText" text="DA"/>
    <x:cfRule type="containsText" dxfId="243" priority="237" operator="containsText" text="RA"/>
    <x:cfRule type="containsText" dxfId="244" priority="238" operator="containsText" text="PA"/>
    <x:cfRule type="containsText" dxfId="245" priority="239" operator="containsText" text="HJ"/>
    <x:cfRule type="containsText" dxfId="246" priority="240" operator="containsText" text="All"/>
  </x:conditionalFormatting>
  <x:conditionalFormatting sqref="E12:E41">
    <x:cfRule type="containsText" dxfId="247" priority="241" operator="containsText" text="완료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D64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6" hidden="0" customWidth="1"/>
    <x:col min="2" max="2" width="11.5" hidden="0" customWidth="1"/>
    <x:col min="3" max="3" width="32.5" hidden="0" customWidth="1"/>
    <x:col min="4" max="4" width="7.75" hidden="0" customWidth="1"/>
    <x:col min="5" max="5" width="11.5" hidden="0" customWidth="1"/>
    <x:col min="6" max="6" width="11.5" hidden="0" customWidth="1"/>
    <x:col min="7" max="7" width="10.25" hidden="0" customWidth="1"/>
    <x:col min="8" max="8" width="10.25" hidden="0" customWidth="1"/>
    <x:col min="9" max="9" width="20" hidden="0" customWidth="1"/>
    <x:col min="10" max="10" width="10.25" hidden="0" customWidth="1"/>
    <x:col min="11" max="11" width="26.25" hidden="0" customWidth="1"/>
    <x:col min="12" max="12" width="36.25" hidden="0" customWidth="1"/>
    <x:col min="13" max="13" width="35" hidden="0" customWidth="1"/>
    <x:col min="14" max="14" width="32.5" hidden="0" customWidth="1"/>
    <x:col min="15" max="15" width="10.380000114440918" hidden="0" customWidth="1"/>
    <x:col min="16" max="16" width="12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업무대장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3" customHeight="1">
      <x:c r="A3" s="2" t="str">
        <x:v>상태·날짜·담당은 이 시트에서 수정합니다. 제안은 팀 확정 전 일정·배정입니다.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3" customHeight="1">
      <x:c r="A4" s="2" t="str">
        <x:v>기준일</x:v>
      </x:c>
      <x:c r="B4" s="4" t="n">
        <x:v>46301</x:v>
      </x:c>
      <x:c r="C4" s="2"/>
      <x:c r="D4" s="2" t="str">
        <x:v>시작일</x:v>
      </x:c>
      <x:c r="E4" s="4" t="n">
        <x:v>46288</x:v>
      </x:c>
      <x:c r="F4" s="2"/>
      <x:c r="G4" s="2" t="str">
        <x:v>종료일</x:v>
      </x:c>
      <x:c r="H4" s="4" t="n">
        <x:v>46307</x:v>
      </x:c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5" t="str">
        <x:v>완료는 확인된 기록만 입력합니다. 작성/팀검토대기는 완료율에서 제외합니다. 지난 일정도 자동 완료하지 않습니다.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</x:row>
    <x:row r="7" ht="24" customHeight="1">
      <x:c r="A7" s="5" t="str">
        <x:v>기록에 시작일이 없는 완료 업무는 확인된 완료일 하루로 표시합니다. 확인필요 업무의 기간은 초기 일정 참고값입니다.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32" customHeight="1">
      <x:c r="A9" s="9" t="str">
        <x:v>ID</x:v>
      </x:c>
      <x:c r="B9" s="9" t="str">
        <x:v>단계</x:v>
      </x:c>
      <x:c r="C9" s="9" t="str">
        <x:v>업무</x:v>
      </x:c>
      <x:c r="D9" s="9" t="str">
        <x:v>담당 코드</x:v>
      </x:c>
      <x:c r="E9" s="9" t="str">
        <x:v>담당자</x:v>
      </x:c>
      <x:c r="F9" s="9" t="str">
        <x:v>담당 근거</x:v>
      </x:c>
      <x:c r="G9" s="9" t="str">
        <x:v>시작일</x:v>
      </x:c>
      <x:c r="H9" s="9" t="str">
        <x:v>종료일</x:v>
      </x:c>
      <x:c r="I9" s="9" t="str">
        <x:v>실제 상태</x:v>
      </x:c>
      <x:c r="J9" s="9" t="str">
        <x:v>완료일</x:v>
      </x:c>
      <x:c r="K9" s="9" t="str">
        <x:v>산출물</x:v>
      </x:c>
      <x:c r="L9" s="9" t="str">
        <x:v>완료조건</x:v>
      </x:c>
      <x:c r="M9" s="9" t="str">
        <x:v>기록·현재 상황</x:v>
      </x:c>
      <x:c r="N9" s="9" t="str">
        <x:v>출처</x:v>
      </x:c>
      <x:c r="O9" s="9" t="str">
        <x:v>선행 업무</x:v>
      </x:c>
      <x:c r="P9" s="9" t="str">
        <x:v>기한 상태</x:v>
      </x:c>
    </x:row>
    <x:row r="10" ht="62" customHeight="1">
      <x:c r="A10" s="11" t="str">
        <x:v>T01</x:v>
      </x:c>
      <x:c r="B10" s="11" t="str">
        <x:v>기획</x:v>
      </x:c>
      <x:c r="C10" s="11" t="str">
        <x:v>주제와 목표 정리</x:v>
      </x:c>
      <x:c r="D10" s="27" t="str">
        <x:v>All</x:v>
      </x:c>
      <x:c r="E10" s="27" t="str">
        <x:f>VLOOKUP(D10,$A$36:$B$40,2,FALSE)</x:f>
        <x:v>공동작업</x:v>
      </x:c>
      <x:c r="F10" s="11" t="str">
        <x:v>기존 역할</x:v>
      </x:c>
      <x:c r="G10" s="13" t="n">
        <x:v>46288</x:v>
      </x:c>
      <x:c r="H10" s="13" t="n">
        <x:v>46288</x:v>
      </x:c>
      <x:c r="I10" s="14" t="str">
        <x:v>확인필요</x:v>
      </x:c>
      <x:c r="J10" s="13"/>
      <x:c r="K10" s="11" t="str">
        <x:v>프로젝트 기획안</x:v>
      </x:c>
      <x:c r="L10" s="11" t="str">
        <x:v>분석 목적·대상·범위를 팀이 확인</x:v>
      </x:c>
      <x:c r="M10" s="11" t="str">
        <x:v>일지 이미지에 주제·목표 존재. 팀 확정 여부 확인</x:v>
      </x:c>
      <x:c r="N10" s="11" t="str">
        <x:v>프로젝트 일지(1) 이미지</x:v>
      </x:c>
      <x:c r="O10" s="11" t="str"/>
      <x:c r="P10" s="11" t="str">
        <x:f>IF(I10="완료","완료",IF(I10="작성/팀검토대기","팀 검토",IF(H10&lt;$B$4,"기한 확인","예정")))</x:f>
        <x:v>기한 확인</x:v>
      </x:c>
    </x:row>
    <x:row r="11" ht="62" customHeight="1">
      <x:c r="A11" s="11" t="str">
        <x:v>T02</x:v>
      </x:c>
      <x:c r="B11" s="11" t="str">
        <x:v>기획</x:v>
      </x:c>
      <x:c r="C11" s="11" t="str">
        <x:v>예측 단위·입력 feature 협의</x:v>
      </x:c>
      <x:c r="D11" s="27" t="str">
        <x:v>All</x:v>
      </x:c>
      <x:c r="E11" s="27" t="str">
        <x:f>VLOOKUP(D11,$A$36:$B$40,2,FALSE)</x:f>
        <x:v>공동작업</x:v>
      </x:c>
      <x:c r="F11" s="11" t="str">
        <x:v>제안</x:v>
      </x:c>
      <x:c r="G11" s="13" t="n">
        <x:v>46288</x:v>
      </x:c>
      <x:c r="H11" s="13" t="n">
        <x:v>46289</x:v>
      </x:c>
      <x:c r="I11" s="14" t="str">
        <x:v>확인필요</x:v>
      </x:c>
      <x:c r="J11" s="13"/>
      <x:c r="K11" s="11" t="str">
        <x:v>분석 설계표</x:v>
      </x:c>
      <x:c r="L11" s="11" t="str">
        <x:v>대여소·시간 단위, 목표값, 입력변수 명시</x:v>
      </x:c>
      <x:c r="M11" s="11" t="str">
        <x:v>완료 기록 미확인</x:v>
      </x:c>
      <x:c r="N11" s="11" t="str">
        <x:v>일정 및 담당 제안</x:v>
      </x:c>
      <x:c r="O11" s="11" t="str">
        <x:v>T01</x:v>
      </x:c>
      <x:c r="P11" s="11" t="str">
        <x:f>IF(I11="완료","완료",IF(I11="작성/팀검토대기","팀 검토",IF(H11&lt;$B$4,"기한 확인","예정")))</x:f>
        <x:v>기한 확인</x:v>
      </x:c>
    </x:row>
    <x:row r="12" ht="62" customHeight="1">
      <x:c r="A12" s="17" t="str">
        <x:v>T03</x:v>
      </x:c>
      <x:c r="B12" s="17" t="str">
        <x:v>수집·정리</x:v>
      </x:c>
      <x:c r="C12" s="17" t="str">
        <x:v>기상 데이터 수집·정리</x:v>
      </x:c>
      <x:c r="D12" s="28" t="str">
        <x:v>DA</x:v>
      </x:c>
      <x:c r="E12" s="28" t="str">
        <x:f>VLOOKUP(D12,$A$36:$B$40,2,FALSE)</x:f>
        <x:v>김다예나</x:v>
      </x:c>
      <x:c r="F12" s="17" t="str">
        <x:v>기존 역할</x:v>
      </x:c>
      <x:c r="G12" s="19" t="n">
        <x:v>46288</x:v>
      </x:c>
      <x:c r="H12" s="19" t="n">
        <x:v>46295</x:v>
      </x:c>
      <x:c r="I12" s="20" t="str">
        <x:v>확인필요</x:v>
      </x:c>
      <x:c r="J12" s="19"/>
      <x:c r="K12" s="17" t="str">
        <x:v>날짜별 기상 데이터</x:v>
      </x:c>
      <x:c r="L12" s="17" t="str">
        <x:v>기간·단위·결측·강수량 처리 기록</x:v>
      </x:c>
      <x:c r="M12" s="17" t="str">
        <x:v>담당 역할은 참고 이미지. 실제 완료일 확인</x:v>
      </x:c>
      <x:c r="N12" s="17" t="str">
        <x:v>프로젝트 관리 참고 이미지</x:v>
      </x:c>
      <x:c r="O12" s="17" t="str">
        <x:v>T01</x:v>
      </x:c>
      <x:c r="P12" s="17" t="str">
        <x:f>IF(I12="완료","완료",IF(I12="작성/팀검토대기","팀 검토",IF(H12&lt;$B$4,"기한 확인","예정")))</x:f>
        <x:v>기한 확인</x:v>
      </x:c>
    </x:row>
    <x:row r="13" ht="62" customHeight="1">
      <x:c r="A13" s="11" t="str">
        <x:v>T04</x:v>
      </x:c>
      <x:c r="B13" s="11" t="str">
        <x:v>수집·정리</x:v>
      </x:c>
      <x:c r="C13" s="11" t="str">
        <x:v>대여·반납 이력 수집·정리</x:v>
      </x:c>
      <x:c r="D13" s="27" t="str">
        <x:v>RA</x:v>
      </x:c>
      <x:c r="E13" s="27" t="str">
        <x:f>VLOOKUP(D13,$A$36:$B$40,2,FALSE)</x:f>
        <x:v>나경원</x:v>
      </x:c>
      <x:c r="F13" s="11" t="str">
        <x:v>기존 역할</x:v>
      </x:c>
      <x:c r="G13" s="13" t="n">
        <x:v>46288</x:v>
      </x:c>
      <x:c r="H13" s="13" t="n">
        <x:v>46295</x:v>
      </x:c>
      <x:c r="I13" s="14" t="str">
        <x:v>확인필요</x:v>
      </x:c>
      <x:c r="J13" s="13"/>
      <x:c r="K13" s="11" t="str">
        <x:v>대여·반납 정리 데이터</x:v>
      </x:c>
      <x:c r="L13" s="11" t="str">
        <x:v>중복 파일 제외·날짜·자치구 검증</x:v>
      </x:c>
      <x:c r="M13" s="11" t="str">
        <x:v>최종 전처리 파일 존재. 담당자 확인 필요</x:v>
      </x:c>
      <x:c r="N13" s="11" t="str">
        <x:v>프로젝트 관리 참고 이미지 / 최종 데이터</x:v>
      </x:c>
      <x:c r="O13" s="11" t="str">
        <x:v>T01</x:v>
      </x:c>
      <x:c r="P13" s="11" t="str">
        <x:f>IF(I13="완료","완료",IF(I13="작성/팀검토대기","팀 검토",IF(H13&lt;$B$4,"기한 확인","예정")))</x:f>
        <x:v>기한 확인</x:v>
      </x:c>
    </x:row>
    <x:row r="14" ht="62" customHeight="1">
      <x:c r="A14" s="11" t="str">
        <x:v>T05</x:v>
      </x:c>
      <x:c r="B14" s="11" t="str">
        <x:v>수집·정리</x:v>
      </x:c>
      <x:c r="C14" s="11" t="str">
        <x:v>시간대별 이용정보 수집·정리</x:v>
      </x:c>
      <x:c r="D14" s="27" t="str">
        <x:v>PA</x:v>
      </x:c>
      <x:c r="E14" s="27" t="str">
        <x:f>VLOOKUP(D14,$A$36:$B$40,2,FALSE)</x:f>
        <x:v>박상혁</x:v>
      </x:c>
      <x:c r="F14" s="11" t="str">
        <x:v>기존 역할</x:v>
      </x:c>
      <x:c r="G14" s="13" t="n">
        <x:v>46288</x:v>
      </x:c>
      <x:c r="H14" s="13" t="n">
        <x:v>46295</x:v>
      </x:c>
      <x:c r="I14" s="14" t="str">
        <x:v>확인필요</x:v>
      </x:c>
      <x:c r="J14" s="13"/>
      <x:c r="K14" s="11" t="str">
        <x:v>시간대별 이용 데이터</x:v>
      </x:c>
      <x:c r="L14" s="11" t="str">
        <x:v>시간·대여소 키 및 집계 단위 확인</x:v>
      </x:c>
      <x:c r="M14" s="11" t="str">
        <x:v>담당 역할은 참고 이미지. 완료 기록 미확인</x:v>
      </x:c>
      <x:c r="N14" s="11" t="str">
        <x:v>프로젝트 관리 참고 이미지</x:v>
      </x:c>
      <x:c r="O14" s="11" t="str">
        <x:v>T01</x:v>
      </x:c>
      <x:c r="P14" s="11" t="str">
        <x:f>IF(I14="완료","완료",IF(I14="작성/팀검토대기","팀 검토",IF(H14&lt;$B$4,"기한 확인","예정")))</x:f>
        <x:v>기한 확인</x:v>
      </x:c>
    </x:row>
    <x:row r="15" ht="62" customHeight="1">
      <x:c r="A15" s="11" t="str">
        <x:v>T06</x:v>
      </x:c>
      <x:c r="B15" s="11" t="str">
        <x:v>수집·정리</x:v>
      </x:c>
      <x:c r="C15" s="11" t="str">
        <x:v>가용수량 2021~2025 전처리</x:v>
      </x:c>
      <x:c r="D15" s="27" t="str">
        <x:v>HJ</x:v>
      </x:c>
      <x:c r="E15" s="27" t="str">
        <x:f>VLOOKUP(D15,$A$36:$B$40,2,FALSE)</x:f>
        <x:v>배혜진</x:v>
      </x:c>
      <x:c r="F15" s="11" t="str">
        <x:v>기록 확인</x:v>
      </x:c>
      <x:c r="G15" s="13" t="n">
        <x:v>46295</x:v>
      </x:c>
      <x:c r="H15" s="13" t="n">
        <x:v>46295</x:v>
      </x:c>
      <x:c r="I15" s="14" t="str">
        <x:v>완료</x:v>
      </x:c>
      <x:c r="J15" s="13" t="n">
        <x:v>46295</x:v>
      </x:c>
      <x:c r="K15" s="11" t="str">
        <x:v>월별 가용수량 전처리 데이터</x:v>
      </x:c>
      <x:c r="L15" s="11" t="str">
        <x:v>2021~2025 월별 전처리 완료 기록</x:v>
      </x:c>
      <x:c r="M15" s="11" t="str">
        <x:v>9/30 작업 기록에 월별 전처리 완료 명시</x:v>
      </x:c>
      <x:c r="N15" s="11" t="str">
        <x:v>작업 전체 기록.txt / 09.30</x:v>
      </x:c>
      <x:c r="O15" s="11" t="str"/>
      <x:c r="P15" s="11" t="str">
        <x:f>IF(I15="완료","완료",IF(I15="작성/팀검토대기","팀 검토",IF(H15&lt;$B$4,"기한 확인","예정")))</x:f>
        <x:v>완료</x:v>
      </x:c>
    </x:row>
    <x:row r="16" ht="62" customHeight="1">
      <x:c r="A16" s="11" t="str">
        <x:v>T07</x:v>
      </x:c>
      <x:c r="B16" s="11" t="str">
        <x:v>수집·정리</x:v>
      </x:c>
      <x:c r="C16" s="11" t="str">
        <x:v>2024~2025 미확인 자치구 수정</x:v>
      </x:c>
      <x:c r="D16" s="27" t="str">
        <x:v>HJ</x:v>
      </x:c>
      <x:c r="E16" s="27" t="str">
        <x:f>VLOOKUP(D16,$A$36:$B$40,2,FALSE)</x:f>
        <x:v>배혜진</x:v>
      </x:c>
      <x:c r="F16" s="11" t="str">
        <x:v>기록 확인</x:v>
      </x:c>
      <x:c r="G16" s="13" t="n">
        <x:v>46296</x:v>
      </x:c>
      <x:c r="H16" s="13" t="n">
        <x:v>46296</x:v>
      </x:c>
      <x:c r="I16" s="14" t="str">
        <x:v>완료</x:v>
      </x:c>
      <x:c r="J16" s="13" t="n">
        <x:v>46296</x:v>
      </x:c>
      <x:c r="K16" s="11" t="str">
        <x:v>자치구 수정 데이터</x:v>
      </x:c>
      <x:c r="L16" s="11" t="str">
        <x:v>미확인 자치구 확인 및 구명 변경 기록</x:v>
      </x:c>
      <x:c r="M16" s="11" t="str">
        <x:v>10/1 작업 기록에 2024~2025 수정 명시</x:v>
      </x:c>
      <x:c r="N16" s="11" t="str">
        <x:v>작업 전체 기록.txt / 10.01</x:v>
      </x:c>
      <x:c r="O16" s="11" t="str">
        <x:v>T04</x:v>
      </x:c>
      <x:c r="P16" s="11" t="str">
        <x:f>IF(I16="완료","완료",IF(I16="작성/팀검토대기","팀 검토",IF(H16&lt;$B$4,"기한 확인","예정")))</x:f>
        <x:v>완료</x:v>
      </x:c>
    </x:row>
    <x:row r="17" ht="62" customHeight="1">
      <x:c r="A17" s="17" t="str">
        <x:v>T08</x:v>
      </x:c>
      <x:c r="B17" s="17" t="str">
        <x:v>분석·설계</x:v>
      </x:c>
      <x:c r="C17" s="17" t="str">
        <x:v>PPT 내용 재배열</x:v>
      </x:c>
      <x:c r="D17" s="28" t="str">
        <x:v>HJ</x:v>
      </x:c>
      <x:c r="E17" s="28" t="str">
        <x:f>VLOOKUP(D17,$A$36:$B$40,2,FALSE)</x:f>
        <x:v>배혜진</x:v>
      </x:c>
      <x:c r="F17" s="17" t="str">
        <x:v>기록 확인</x:v>
      </x:c>
      <x:c r="G17" s="19" t="n">
        <x:v>46296</x:v>
      </x:c>
      <x:c r="H17" s="19" t="n">
        <x:v>46296</x:v>
      </x:c>
      <x:c r="I17" s="20" t="str">
        <x:v>완료</x:v>
      </x:c>
      <x:c r="J17" s="19" t="n">
        <x:v>46296</x:v>
      </x:c>
      <x:c r="K17" s="17" t="str">
        <x:v>발표자료 구성 초안</x:v>
      </x:c>
      <x:c r="L17" s="17" t="str">
        <x:v>참고 발표자료에 따른 내용 재배열 기록</x:v>
      </x:c>
      <x:c r="M17" s="17" t="str">
        <x:v>10/1 작업 기록에 내용 재배열 명시</x:v>
      </x:c>
      <x:c r="N17" s="17" t="str">
        <x:v>작업 전체 기록.txt / 10.01</x:v>
      </x:c>
      <x:c r="O17" s="17" t="str">
        <x:v>T01</x:v>
      </x:c>
      <x:c r="P17" s="17" t="str">
        <x:f>IF(I17="완료","완료",IF(I17="작성/팀검토대기","팀 검토",IF(H17&lt;$B$4,"기한 확인","예정")))</x:f>
        <x:v>완료</x:v>
      </x:c>
    </x:row>
    <x:row r="18" ht="62" customHeight="1">
      <x:c r="A18" s="11" t="str">
        <x:v>T09</x:v>
      </x:c>
      <x:c r="B18" s="11" t="str">
        <x:v>분석·설계</x:v>
      </x:c>
      <x:c r="C18" s="11" t="str">
        <x:v>자치구 요일·휴일 EDA 노트북</x:v>
      </x:c>
      <x:c r="D18" s="27" t="str">
        <x:v>All</x:v>
      </x:c>
      <x:c r="E18" s="27" t="str">
        <x:f>VLOOKUP(D18,$A$36:$B$40,2,FALSE)</x:f>
        <x:v>공동작업</x:v>
      </x:c>
      <x:c r="F18" s="11" t="str">
        <x:v>제안</x:v>
      </x:c>
      <x:c r="G18" s="13" t="n">
        <x:v>46297</x:v>
      </x:c>
      <x:c r="H18" s="13" t="n">
        <x:v>46297</x:v>
      </x:c>
      <x:c r="I18" s="14" t="str">
        <x:v>완료</x:v>
      </x:c>
      <x:c r="J18" s="13" t="n">
        <x:v>46297</x:v>
      </x:c>
      <x:c r="K18" s="11" t="str">
        <x:v>실행된 EDA 노트북·표·그림</x:v>
      </x:c>
      <x:c r="L18" s="11" t="str">
        <x:v>2023~2025 일별 집계·패턴·모델 평가 저장</x:v>
      </x:c>
      <x:c r="M18" s="11" t="str">
        <x:v>84,333,039건 / 1,096일 분석 산출물 존재</x:v>
      </x:c>
      <x:c r="N18" s="11" t="str">
        <x:v>10/2 채팅 산출물 / 핵심결과.json</x:v>
      </x:c>
      <x:c r="O18" s="11" t="str">
        <x:v>T04</x:v>
      </x:c>
      <x:c r="P18" s="11" t="str">
        <x:f>IF(I18="완료","완료",IF(I18="작성/팀검토대기","팀 검토",IF(H18&lt;$B$4,"기한 확인","예정")))</x:f>
        <x:v>완료</x:v>
      </x:c>
    </x:row>
    <x:row r="19" ht="62" customHeight="1">
      <x:c r="A19" s="11" t="str">
        <x:v>T10</x:v>
      </x:c>
      <x:c r="B19" s="11" t="str">
        <x:v>분석·설계</x:v>
      </x:c>
      <x:c r="C19" s="11" t="str">
        <x:v>기상과 이용량 관계 EDA</x:v>
      </x:c>
      <x:c r="D19" s="27" t="str">
        <x:v>DA</x:v>
      </x:c>
      <x:c r="E19" s="27" t="str">
        <x:f>VLOOKUP(D19,$A$36:$B$40,2,FALSE)</x:f>
        <x:v>김다예나</x:v>
      </x:c>
      <x:c r="F19" s="11" t="str">
        <x:v>제안</x:v>
      </x:c>
      <x:c r="G19" s="13" t="n">
        <x:v>46301</x:v>
      </x:c>
      <x:c r="H19" s="13" t="n">
        <x:v>46302</x:v>
      </x:c>
      <x:c r="I19" s="14" t="str">
        <x:v>계획</x:v>
      </x:c>
      <x:c r="J19" s="13"/>
      <x:c r="K19" s="11" t="str">
        <x:v>기상 EDA 그림·해석</x:v>
      </x:c>
      <x:c r="L19" s="11" t="str">
        <x:v>기온·강수량별 이용 패턴 및 한계 정리</x:v>
      </x:c>
      <x:c r="M19" s="11" t="str">
        <x:v>완료 근거 없음</x:v>
      </x:c>
      <x:c r="N19" s="11" t="str">
        <x:v>일정 및 상세 담당 제안</x:v>
      </x:c>
      <x:c r="O19" s="11" t="str">
        <x:v>T03</x:v>
      </x:c>
      <x:c r="P19" s="11" t="str">
        <x:f>IF(I19="완료","완료",IF(I19="작성/팀검토대기","팀 검토",IF(H19&lt;$B$4,"기한 확인","예정")))</x:f>
        <x:v>예정</x:v>
      </x:c>
    </x:row>
    <x:row r="20" ht="62" customHeight="1">
      <x:c r="A20" s="11" t="str">
        <x:v>T11</x:v>
      </x:c>
      <x:c r="B20" s="11" t="str">
        <x:v>분석·설계</x:v>
      </x:c>
      <x:c r="C20" s="11" t="str">
        <x:v>시간대·자치구 이용 흐름 EDA</x:v>
      </x:c>
      <x:c r="D20" s="27" t="str">
        <x:v>PA</x:v>
      </x:c>
      <x:c r="E20" s="27" t="str">
        <x:f>VLOOKUP(D20,$A$36:$B$40,2,FALSE)</x:f>
        <x:v>박상혁</x:v>
      </x:c>
      <x:c r="F20" s="11" t="str">
        <x:v>제안</x:v>
      </x:c>
      <x:c r="G20" s="13" t="n">
        <x:v>46301</x:v>
      </x:c>
      <x:c r="H20" s="13" t="n">
        <x:v>46302</x:v>
      </x:c>
      <x:c r="I20" s="14" t="str">
        <x:v>계획</x:v>
      </x:c>
      <x:c r="J20" s="13"/>
      <x:c r="K20" s="11" t="str">
        <x:v>시간대별 수요 패턴</x:v>
      </x:c>
      <x:c r="L20" s="11" t="str">
        <x:v>출퇴근·주말 시간대 비교 및 표본 확인</x:v>
      </x:c>
      <x:c r="M20" s="11" t="str">
        <x:v>완료 근거 없음</x:v>
      </x:c>
      <x:c r="N20" s="11" t="str">
        <x:v>일정 및 상세 담당 제안</x:v>
      </x:c>
      <x:c r="O20" s="11" t="str">
        <x:v>T05</x:v>
      </x:c>
      <x:c r="P20" s="11" t="str">
        <x:f>IF(I20="완료","완료",IF(I20="작성/팀검토대기","팀 검토",IF(H20&lt;$B$4,"기한 확인","예정")))</x:f>
        <x:v>예정</x:v>
      </x:c>
    </x:row>
    <x:row r="21" ht="62" customHeight="1">
      <x:c r="A21" s="11" t="str">
        <x:v>T12</x:v>
      </x:c>
      <x:c r="B21" s="11" t="str">
        <x:v>분석·설계</x:v>
      </x:c>
      <x:c r="C21" s="11" t="str">
        <x:v>데이터 통합·누락·중복 점검</x:v>
      </x:c>
      <x:c r="D21" s="27" t="str">
        <x:v>RA</x:v>
      </x:c>
      <x:c r="E21" s="27" t="str">
        <x:f>VLOOKUP(D21,$A$36:$B$40,2,FALSE)</x:f>
        <x:v>나경원</x:v>
      </x:c>
      <x:c r="F21" s="11" t="str">
        <x:v>제안</x:v>
      </x:c>
      <x:c r="G21" s="13" t="n">
        <x:v>46301</x:v>
      </x:c>
      <x:c r="H21" s="13" t="n">
        <x:v>46302</x:v>
      </x:c>
      <x:c r="I21" s="14" t="str">
        <x:v>계획</x:v>
      </x:c>
      <x:c r="J21" s="13"/>
      <x:c r="K21" s="11" t="str">
        <x:v>통합 데이터·품질 점검표</x:v>
      </x:c>
      <x:c r="L21" s="11" t="str">
        <x:v>조인 키·기간·행 수·누락 원인 기록</x:v>
      </x:c>
      <x:c r="M21" s="11" t="str">
        <x:v>완료 근거 없음</x:v>
      </x:c>
      <x:c r="N21" s="11" t="str">
        <x:v>일정 및 상세 담당 제안</x:v>
      </x:c>
      <x:c r="O21" s="11" t="str">
        <x:v>T03~07</x:v>
      </x:c>
      <x:c r="P21" s="11" t="str">
        <x:f>IF(I21="완료","완료",IF(I21="작성/팀검토대기","팀 검토",IF(H21&lt;$B$4,"기한 확인","예정")))</x:f>
        <x:v>예정</x:v>
      </x:c>
    </x:row>
    <x:row r="22" ht="62" customHeight="1">
      <x:c r="A22" s="17" t="str">
        <x:v>T13</x:v>
      </x:c>
      <x:c r="B22" s="17" t="str">
        <x:v>모델·평가</x:v>
      </x:c>
      <x:c r="C22" s="17" t="str">
        <x:v>불균형 label·클래스 정의</x:v>
      </x:c>
      <x:c r="D22" s="28" t="str">
        <x:v>All</x:v>
      </x:c>
      <x:c r="E22" s="28" t="str">
        <x:f>VLOOKUP(D22,$A$36:$B$40,2,FALSE)</x:f>
        <x:v>공동작업</x:v>
      </x:c>
      <x:c r="F22" s="17" t="str">
        <x:v>제안</x:v>
      </x:c>
      <x:c r="G22" s="19" t="n">
        <x:v>46302</x:v>
      </x:c>
      <x:c r="H22" s="19" t="n">
        <x:v>46302</x:v>
      </x:c>
      <x:c r="I22" s="20" t="str">
        <x:v>계획</x:v>
      </x:c>
      <x:c r="J22" s="19"/>
      <x:c r="K22" s="17" t="str">
        <x:v>label 정의서·분포표</x:v>
      </x:c>
      <x:c r="L22" s="17" t="str">
        <x:v>예측 시점·기간·label 기준·클래스 분포 합의</x:v>
      </x:c>
      <x:c r="M22" s="17" t="str">
        <x:v>불균형 분류 성능은 아직 미측정</x:v>
      </x:c>
      <x:c r="N22" s="17" t="str">
        <x:v>일정 및 상세 담당 제안</x:v>
      </x:c>
      <x:c r="O22" s="17" t="str">
        <x:v>T12</x:v>
      </x:c>
      <x:c r="P22" s="17" t="str">
        <x:f>IF(I22="완료","완료",IF(I22="작성/팀검토대기","팀 검토",IF(H22&lt;$B$4,"기한 확인","예정")))</x:f>
        <x:v>예정</x:v>
      </x:c>
    </x:row>
    <x:row r="23" ht="62" customHeight="1">
      <x:c r="A23" s="11" t="str">
        <x:v>T14</x:v>
      </x:c>
      <x:c r="B23" s="11" t="str">
        <x:v>모델·평가</x:v>
      </x:c>
      <x:c r="C23" s="11" t="str">
        <x:v>시간순 분할·기준선 설계</x:v>
      </x:c>
      <x:c r="D23" s="27" t="str">
        <x:v>All</x:v>
      </x:c>
      <x:c r="E23" s="27" t="str">
        <x:f>VLOOKUP(D23,$A$36:$B$40,2,FALSE)</x:f>
        <x:v>공동작업</x:v>
      </x:c>
      <x:c r="F23" s="11" t="str">
        <x:v>제안</x:v>
      </x:c>
      <x:c r="G23" s="13" t="n">
        <x:v>46302</x:v>
      </x:c>
      <x:c r="H23" s="13" t="n">
        <x:v>46303</x:v>
      </x:c>
      <x:c r="I23" s="14" t="str">
        <x:v>계획</x:v>
      </x:c>
      <x:c r="J23" s="13"/>
      <x:c r="K23" s="11" t="str">
        <x:v>학습·검증·시험 분할표</x:v>
      </x:c>
      <x:c r="L23" s="11" t="str">
        <x:v>미래 정보 차단 및 기준선 성능 확보</x:v>
      </x:c>
      <x:c r="M23" s="11" t="str">
        <x:v>자치구 OLS 예제와 대여소 분류 과제는 별개</x:v>
      </x:c>
      <x:c r="N23" s="11" t="str">
        <x:v>일정 및 상세 담당 제안</x:v>
      </x:c>
      <x:c r="O23" s="11" t="str">
        <x:v>T13</x:v>
      </x:c>
      <x:c r="P23" s="11" t="str">
        <x:f>IF(I23="완료","완료",IF(I23="작성/팀검토대기","팀 검토",IF(H23&lt;$B$4,"기한 확인","예정")))</x:f>
        <x:v>예정</x:v>
      </x:c>
    </x:row>
    <x:row r="24" ht="62" customHeight="1">
      <x:c r="A24" s="11" t="str">
        <x:v>T15</x:v>
      </x:c>
      <x:c r="B24" s="11" t="str">
        <x:v>모델·평가</x:v>
      </x:c>
      <x:c r="C24" s="11" t="str">
        <x:v>수업 범위 분류모델 학습·비교</x:v>
      </x:c>
      <x:c r="D24" s="27" t="str">
        <x:v>All</x:v>
      </x:c>
      <x:c r="E24" s="27" t="str">
        <x:f>VLOOKUP(D24,$A$36:$B$40,2,FALSE)</x:f>
        <x:v>공동작업</x:v>
      </x:c>
      <x:c r="F24" s="11" t="str">
        <x:v>제안</x:v>
      </x:c>
      <x:c r="G24" s="13" t="n">
        <x:v>46303</x:v>
      </x:c>
      <x:c r="H24" s="13" t="n">
        <x:v>46304</x:v>
      </x:c>
      <x:c r="I24" s="14" t="str">
        <x:v>계획</x:v>
      </x:c>
      <x:c r="J24" s="13"/>
      <x:c r="K24" s="11" t="str">
        <x:v>학습 노트북·후보 비교표</x:v>
      </x:c>
      <x:c r="L24" s="11" t="str">
        <x:v>동일한 검증 구간에서 후보 모델 비교</x:v>
      </x:c>
      <x:c r="M24" s="11" t="str">
        <x:v>분류모델 학습 완료 근거 없음</x:v>
      </x:c>
      <x:c r="N24" s="11" t="str">
        <x:v>일정 및 상세 담당 제안</x:v>
      </x:c>
      <x:c r="O24" s="11" t="str">
        <x:v>T14</x:v>
      </x:c>
      <x:c r="P24" s="11" t="str">
        <x:f>IF(I24="완료","완료",IF(I24="작성/팀검토대기","팀 검토",IF(H24&lt;$B$4,"기한 확인","예정")))</x:f>
        <x:v>예정</x:v>
      </x:c>
    </x:row>
    <x:row r="25" ht="62" customHeight="1">
      <x:c r="A25" s="11" t="str">
        <x:v>T16</x:v>
      </x:c>
      <x:c r="B25" s="11" t="str">
        <x:v>모델·평가</x:v>
      </x:c>
      <x:c r="C25" s="11" t="str">
        <x:v>F1·ROC-AUC·Recall 최종 평가</x:v>
      </x:c>
      <x:c r="D25" s="27" t="str">
        <x:v>All</x:v>
      </x:c>
      <x:c r="E25" s="27" t="str">
        <x:f>VLOOKUP(D25,$A$36:$B$40,2,FALSE)</x:f>
        <x:v>공동작업</x:v>
      </x:c>
      <x:c r="F25" s="11" t="str">
        <x:v>제안</x:v>
      </x:c>
      <x:c r="G25" s="13" t="n">
        <x:v>46304</x:v>
      </x:c>
      <x:c r="H25" s="13" t="n">
        <x:v>46304</x:v>
      </x:c>
      <x:c r="I25" s="14" t="str">
        <x:v>계획</x:v>
      </x:c>
      <x:c r="J25" s="13"/>
      <x:c r="K25" s="11" t="str">
        <x:v>평가지표·혼동행렬</x:v>
      </x:c>
      <x:c r="L25" s="11" t="str">
        <x:v>선택 후 시험 세트 1회 평가와 클래스별 지표</x:v>
      </x:c>
      <x:c r="M25" s="11" t="str">
        <x:v>F1·ROC-AUC·Recall 미측정. PR-AUC(확장 검토)는 수업 외 지표</x:v>
      </x:c>
      <x:c r="N25" s="11" t="str">
        <x:v>일정 및 상세 담당 제안</x:v>
      </x:c>
      <x:c r="O25" s="11" t="str">
        <x:v>T15</x:v>
      </x:c>
      <x:c r="P25" s="11" t="str">
        <x:f>IF(I25="완료","완료",IF(I25="작성/팀검토대기","팀 검토",IF(H25&lt;$B$4,"기한 확인","예정")))</x:f>
        <x:v>예정</x:v>
      </x:c>
    </x:row>
    <x:row r="26" ht="62" customHeight="1">
      <x:c r="A26" s="11" t="str">
        <x:v>T17</x:v>
      </x:c>
      <x:c r="B26" s="11" t="str">
        <x:v>모델·평가</x:v>
      </x:c>
      <x:c r="C26" s="11" t="str">
        <x:v>재배치 우선순위 기준 검토</x:v>
      </x:c>
      <x:c r="D26" s="27" t="str">
        <x:v>All</x:v>
      </x:c>
      <x:c r="E26" s="27" t="str">
        <x:f>VLOOKUP(D26,$A$36:$B$40,2,FALSE)</x:f>
        <x:v>공동작업</x:v>
      </x:c>
      <x:c r="F26" s="11" t="str">
        <x:v>제안</x:v>
      </x:c>
      <x:c r="G26" s="13" t="n">
        <x:v>46304</x:v>
      </x:c>
      <x:c r="H26" s="13" t="n">
        <x:v>46305</x:v>
      </x:c>
      <x:c r="I26" s="14" t="str">
        <x:v>계획</x:v>
      </x:c>
      <x:c r="J26" s="13"/>
      <x:c r="K26" s="11" t="str">
        <x:v>우선순위 규칙·운영 가정</x:v>
      </x:c>
      <x:c r="L26" s="11" t="str">
        <x:v>부족·과잉 판단, 재고·반납·이동 제약 명시</x:v>
      </x:c>
      <x:c r="M26" s="11" t="str">
        <x:v>최적 재배치 수량으로 단정하지 않음</x:v>
      </x:c>
      <x:c r="N26" s="11" t="str">
        <x:v>일정 및 상세 담당 제안</x:v>
      </x:c>
      <x:c r="O26" s="11" t="str">
        <x:v>T16</x:v>
      </x:c>
      <x:c r="P26" s="11" t="str">
        <x:f>IF(I26="완료","완료",IF(I26="작성/팀검토대기","팀 검토",IF(H26&lt;$B$4,"기한 확인","예정")))</x:f>
        <x:v>예정</x:v>
      </x:c>
    </x:row>
    <x:row r="27" ht="62" customHeight="1">
      <x:c r="A27" s="17" t="str">
        <x:v>T18</x:v>
      </x:c>
      <x:c r="B27" s="17" t="str">
        <x:v>웹·서비스</x:v>
      </x:c>
      <x:c r="C27" s="17" t="str">
        <x:v>예측 함수 입출력 정리</x:v>
      </x:c>
      <x:c r="D27" s="28" t="str">
        <x:v>RA</x:v>
      </x:c>
      <x:c r="E27" s="28" t="str">
        <x:f>VLOOKUP(D27,$A$36:$B$40,2,FALSE)</x:f>
        <x:v>나경원</x:v>
      </x:c>
      <x:c r="F27" s="17" t="str">
        <x:v>제안</x:v>
      </x:c>
      <x:c r="G27" s="19" t="n">
        <x:v>46304</x:v>
      </x:c>
      <x:c r="H27" s="19" t="n">
        <x:v>46305</x:v>
      </x:c>
      <x:c r="I27" s="20" t="str">
        <x:v>계획</x:v>
      </x:c>
      <x:c r="J27" s="19"/>
      <x:c r="K27" s="17" t="str">
        <x:v>예측 함수·입출력 명세</x:v>
      </x:c>
      <x:c r="L27" s="17" t="str">
        <x:v>오류 입력·모델 파일·출력 형식 처리</x:v>
      </x:c>
      <x:c r="M27" s="17" t="str">
        <x:v>완료 근거 없음</x:v>
      </x:c>
      <x:c r="N27" s="17" t="str">
        <x:v>일정 및 상세 담당 제안</x:v>
      </x:c>
      <x:c r="O27" s="17" t="str">
        <x:v>T15</x:v>
      </x:c>
      <x:c r="P27" s="17" t="str">
        <x:f>IF(I27="완료","완료",IF(I27="작성/팀검토대기","팀 검토",IF(H27&lt;$B$4,"기한 확인","예정")))</x:f>
        <x:v>예정</x:v>
      </x:c>
    </x:row>
    <x:row r="28" ht="62" customHeight="1">
      <x:c r="A28" s="11" t="str">
        <x:v>T19</x:v>
      </x:c>
      <x:c r="B28" s="11" t="str">
        <x:v>웹·서비스</x:v>
      </x:c>
      <x:c r="C28" s="11" t="str">
        <x:v>Flask 프로토타입 구현</x:v>
      </x:c>
      <x:c r="D28" s="27" t="str">
        <x:v>HJ</x:v>
      </x:c>
      <x:c r="E28" s="27" t="str">
        <x:f>VLOOKUP(D28,$A$36:$B$40,2,FALSE)</x:f>
        <x:v>배혜진</x:v>
      </x:c>
      <x:c r="F28" s="11" t="str">
        <x:v>제안</x:v>
      </x:c>
      <x:c r="G28" s="13" t="n">
        <x:v>46303</x:v>
      </x:c>
      <x:c r="H28" s="13" t="n">
        <x:v>46305</x:v>
      </x:c>
      <x:c r="I28" s="14" t="str">
        <x:v>계획</x:v>
      </x:c>
      <x:c r="J28" s="13"/>
      <x:c r="K28" s="11" t="str">
        <x:v>실행 가능한 Flask 프로토타입</x:v>
      </x:c>
      <x:c r="L28" s="11" t="str">
        <x:v>입력·예측·결과 화면 연결</x:v>
      </x:c>
      <x:c r="M28" s="11" t="str">
        <x:v>발표용 정적 웹과 실제 모델 연동 구분</x:v>
      </x:c>
      <x:c r="N28" s="11" t="str">
        <x:v>일정 및 상세 담당 제안</x:v>
      </x:c>
      <x:c r="O28" s="11" t="str">
        <x:v>T18</x:v>
      </x:c>
      <x:c r="P28" s="11" t="str">
        <x:f>IF(I28="완료","완료",IF(I28="작성/팀검토대기","팀 검토",IF(H28&lt;$B$4,"기한 확인","예정")))</x:f>
        <x:v>예정</x:v>
      </x:c>
    </x:row>
    <x:row r="29" ht="62" customHeight="1">
      <x:c r="A29" s="11" t="str">
        <x:v>T20</x:v>
      </x:c>
      <x:c r="B29" s="11" t="str">
        <x:v>웹·서비스</x:v>
      </x:c>
      <x:c r="C29" s="11" t="str">
        <x:v>모델 연동·구동 점검</x:v>
      </x:c>
      <x:c r="D29" s="27" t="str">
        <x:v>All</x:v>
      </x:c>
      <x:c r="E29" s="27" t="str">
        <x:f>VLOOKUP(D29,$A$36:$B$40,2,FALSE)</x:f>
        <x:v>공동작업</x:v>
      </x:c>
      <x:c r="F29" s="11" t="str">
        <x:v>제안</x:v>
      </x:c>
      <x:c r="G29" s="13" t="n">
        <x:v>46305</x:v>
      </x:c>
      <x:c r="H29" s="13" t="n">
        <x:v>46306</x:v>
      </x:c>
      <x:c r="I29" s="14" t="str">
        <x:v>계획</x:v>
      </x:c>
      <x:c r="J29" s="13"/>
      <x:c r="K29" s="11" t="str">
        <x:v>구동 점검표·수정 기록</x:v>
      </x:c>
      <x:c r="L29" s="11" t="str">
        <x:v>샘플 입력·실제 모델 출력·예외 처리 확인</x:v>
      </x:c>
      <x:c r="M29" s="11" t="str">
        <x:v>완료 근거 없음</x:v>
      </x:c>
      <x:c r="N29" s="11" t="str">
        <x:v>일정 및 상세 담당 제안</x:v>
      </x:c>
      <x:c r="O29" s="11" t="str">
        <x:v>T19</x:v>
      </x:c>
      <x:c r="P29" s="11" t="str">
        <x:f>IF(I29="완료","완료",IF(I29="작성/팀검토대기","팀 검토",IF(H29&lt;$B$4,"기한 확인","예정")))</x:f>
        <x:v>예정</x:v>
      </x:c>
    </x:row>
    <x:row r="30" ht="62" customHeight="1">
      <x:c r="A30" s="17" t="str">
        <x:v>T21</x:v>
      </x:c>
      <x:c r="B30" s="17" t="str">
        <x:v>발표·제출</x:v>
      </x:c>
      <x:c r="C30" s="17" t="str">
        <x:v>발표 웹·시각자료 초안</x:v>
      </x:c>
      <x:c r="D30" s="28" t="str">
        <x:v>HJ</x:v>
      </x:c>
      <x:c r="E30" s="28" t="str">
        <x:f>VLOOKUP(D30,$A$36:$B$40,2,FALSE)</x:f>
        <x:v>배혜진</x:v>
      </x:c>
      <x:c r="F30" s="17" t="str">
        <x:v>제안</x:v>
      </x:c>
      <x:c r="G30" s="19" t="n">
        <x:v>46301</x:v>
      </x:c>
      <x:c r="H30" s="19" t="n">
        <x:v>46301</x:v>
      </x:c>
      <x:c r="I30" s="20" t="str">
        <x:v>작성/팀검토대기</x:v>
      </x:c>
      <x:c r="J30" s="19"/>
      <x:c r="K30" s="17" t="str">
        <x:v>통합패키지 발표 웹·시각자료</x:v>
      </x:c>
      <x:c r="L30" s="17" t="str">
        <x:v>수치·문구·역할을 팀 검토 후 확정</x:v>
      </x:c>
      <x:c r="M30" s="17" t="str">
        <x:v>10/6 작성 산출물. 팀 승인 전</x:v>
      </x:c>
      <x:c r="N30" s="17" t="str">
        <x:v>10/6 통합패키지 작성본</x:v>
      </x:c>
      <x:c r="O30" s="17" t="str">
        <x:v>T08~09</x:v>
      </x:c>
      <x:c r="P30" s="17" t="str">
        <x:f>IF(I30="완료","완료",IF(I30="작성/팀검토대기","팀 검토",IF(H30&lt;$B$4,"기한 확인","예정")))</x:f>
        <x:v>팀 검토</x:v>
      </x:c>
    </x:row>
    <x:row r="31" ht="62" customHeight="1">
      <x:c r="A31" s="11" t="str">
        <x:v>T22</x:v>
      </x:c>
      <x:c r="B31" s="11" t="str">
        <x:v>발표·제출</x:v>
      </x:c>
      <x:c r="C31" s="11" t="str">
        <x:v>프로젝트 관리표 작성</x:v>
      </x:c>
      <x:c r="D31" s="27" t="str">
        <x:v>All</x:v>
      </x:c>
      <x:c r="E31" s="27" t="str">
        <x:f>VLOOKUP(D31,$A$36:$B$40,2,FALSE)</x:f>
        <x:v>공동작업</x:v>
      </x:c>
      <x:c r="F31" s="11" t="str">
        <x:v>제안</x:v>
      </x:c>
      <x:c r="G31" s="13" t="n">
        <x:v>46301</x:v>
      </x:c>
      <x:c r="H31" s="13" t="n">
        <x:v>46301</x:v>
      </x:c>
      <x:c r="I31" s="14" t="str">
        <x:v>작성/팀검토대기</x:v>
      </x:c>
      <x:c r="J31" s="13"/>
      <x:c r="K31" s="11" t="str">
        <x:v>프로젝트_관리.xlsx</x:v>
      </x:c>
      <x:c r="L31" s="11" t="str">
        <x:v>일정·담당·완료조건을 팀이 확인</x:v>
      </x:c>
      <x:c r="M31" s="11" t="str">
        <x:v>10/6 작성 산출물. 팀 승인 전</x:v>
      </x:c>
      <x:c r="N31" s="11" t="str">
        <x:v>현재 관리표 작성본</x:v>
      </x:c>
      <x:c r="O31" s="11" t="str">
        <x:v>T01</x:v>
      </x:c>
      <x:c r="P31" s="11" t="str">
        <x:f>IF(I31="완료","완료",IF(I31="작성/팀검토대기","팀 검토",IF(H31&lt;$B$4,"기한 확인","예정")))</x:f>
        <x:v>팀 검토</x:v>
      </x:c>
    </x:row>
    <x:row r="32" ht="62" customHeight="1">
      <x:c r="A32" s="11" t="str">
        <x:v>T23</x:v>
      </x:c>
      <x:c r="B32" s="11" t="str">
        <x:v>발표·제출</x:v>
      </x:c>
      <x:c r="C32" s="11" t="str">
        <x:v>보고서 검토·발표 리허설</x:v>
      </x:c>
      <x:c r="D32" s="27" t="str">
        <x:v>All</x:v>
      </x:c>
      <x:c r="E32" s="27" t="str">
        <x:f>VLOOKUP(D32,$A$36:$B$40,2,FALSE)</x:f>
        <x:v>공동작업</x:v>
      </x:c>
      <x:c r="F32" s="11" t="str">
        <x:v>제안</x:v>
      </x:c>
      <x:c r="G32" s="13" t="n">
        <x:v>46306</x:v>
      </x:c>
      <x:c r="H32" s="13" t="n">
        <x:v>46306</x:v>
      </x:c>
      <x:c r="I32" s="14" t="str">
        <x:v>계획</x:v>
      </x:c>
      <x:c r="J32" s="13"/>
      <x:c r="K32" s="11" t="str">
        <x:v>최종 발표·보고서</x:v>
      </x:c>
      <x:c r="L32" s="11" t="str">
        <x:v>지표 출처·데모·역할별 설명 점검</x:v>
      </x:c>
      <x:c r="M32" s="11" t="str">
        <x:v>미래 일정 제안</x:v>
      </x:c>
      <x:c r="N32" s="11" t="str">
        <x:v>일정 및 상세 담당 제안</x:v>
      </x:c>
      <x:c r="O32" s="11" t="str">
        <x:v>T16~22</x:v>
      </x:c>
      <x:c r="P32" s="11" t="str">
        <x:f>IF(I32="완료","완료",IF(I32="작성/팀검토대기","팀 검토",IF(H32&lt;$B$4,"기한 확인","예정")))</x:f>
        <x:v>예정</x:v>
      </x:c>
    </x:row>
    <x:row r="33" ht="62" customHeight="1">
      <x:c r="A33" s="11" t="str">
        <x:v>T24</x:v>
      </x:c>
      <x:c r="B33" s="11" t="str">
        <x:v>발표·제출</x:v>
      </x:c>
      <x:c r="C33" s="11" t="str">
        <x:v>최종 제출·회고</x:v>
      </x:c>
      <x:c r="D33" s="27" t="str">
        <x:v>All</x:v>
      </x:c>
      <x:c r="E33" s="27" t="str">
        <x:f>VLOOKUP(D33,$A$36:$B$40,2,FALSE)</x:f>
        <x:v>공동작업</x:v>
      </x:c>
      <x:c r="F33" s="11" t="str">
        <x:v>제안</x:v>
      </x:c>
      <x:c r="G33" s="13" t="n">
        <x:v>46307</x:v>
      </x:c>
      <x:c r="H33" s="13" t="n">
        <x:v>46307</x:v>
      </x:c>
      <x:c r="I33" s="14" t="str">
        <x:v>계획</x:v>
      </x:c>
      <x:c r="J33" s="13"/>
      <x:c r="K33" s="11" t="str">
        <x:v>제출본·실행 안내·회고</x:v>
      </x:c>
      <x:c r="L33" s="11" t="str">
        <x:v>제출 파일 확인·재현 방법·한계 기록</x:v>
      </x:c>
      <x:c r="M33" s="11" t="str">
        <x:v>미래 일정 제안</x:v>
      </x:c>
      <x:c r="N33" s="11" t="str">
        <x:v>프로젝트 종료일 / 제출 일정 제안</x:v>
      </x:c>
      <x:c r="O33" s="11" t="str">
        <x:v>T23</x:v>
      </x:c>
      <x:c r="P33" s="11" t="str">
        <x:f>IF(I33="완료","완료",IF(I33="작성/팀검토대기","팀 검토",IF(H33&lt;$B$4,"기한 확인","예정")))</x:f>
        <x:v>예정</x:v>
      </x:c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3" customHeight="1">
      <x:c r="A35" s="9" t="str">
        <x:v>코드</x:v>
      </x:c>
      <x:c r="B35" s="9" t="str">
        <x:v>담당자</x:v>
      </x:c>
      <x:c r="C35" s="9" t="str">
        <x:v>주담당</x:v>
      </x:c>
      <x:c r="D35" s="2"/>
      <x:c r="E35" s="2" t="str">
        <x:v>담당 코드를 바꾸면 담당자 이름과 간트의 담당 표시가 함께 갱신됩니다. 상세 업무 배정은 제안 여부를 확인합니다.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3" customHeight="1">
      <x:c r="A36" s="2" t="str">
        <x:v>DA</x:v>
      </x:c>
      <x:c r="B36" s="2" t="str">
        <x:v>김다예나</x:v>
      </x:c>
      <x:c r="C36" s="2" t="str">
        <x:v>기상 데이터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3" customHeight="1">
      <x:c r="A37" s="2" t="str">
        <x:v>RA</x:v>
      </x:c>
      <x:c r="B37" s="2" t="str">
        <x:v>나경원</x:v>
      </x:c>
      <x:c r="C37" s="2" t="str">
        <x:v>대여·반납 이력</x:v>
      </x:c>
      <x:c r="D37" s="2"/>
      <x:c r="E37" s="2" t="str">
        <x:v>완료 근거: 작업 전체 기록.txt(9/30, 10/1), 10/2 실행 EDA 산출물의 핵심결과.json.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3" customHeight="1">
      <x:c r="A38" s="2" t="str">
        <x:v>PA</x:v>
      </x:c>
      <x:c r="B38" s="2" t="str">
        <x:v>박상혁</x:v>
      </x:c>
      <x:c r="C38" s="2" t="str">
        <x:v>시간대별 이용정보</x:v>
      </x:c>
      <x:c r="D38" s="2"/>
      <x:c r="E38" s="2" t="str">
        <x:v>새 업무를 추가할 때는 간트 연결 행과 요약 수식의 마지막 행을 함께 늘립니다. 같은 ID를 중복 사용하지 않습니다.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3" customHeight="1">
      <x:c r="A39" s="2" t="str">
        <x:v>HJ</x:v>
      </x:c>
      <x:c r="B39" s="2" t="str">
        <x:v>배혜진</x:v>
      </x:c>
      <x:c r="C39" s="2" t="str">
        <x:v>가용수량·발표 웹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3" customHeight="1">
      <x:c r="A40" s="2" t="str">
        <x:v>All</x:v>
      </x:c>
      <x:c r="B40" s="2" t="str">
        <x:v>공동작업</x:v>
      </x:c>
      <x:c r="C40" s="2" t="str">
        <x:v>공동 검토 및 제출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</x:sheetData>
  <x:mergeCells>
    <x:mergeCell ref="A2:P2"/>
    <x:mergeCell ref="A3:P3"/>
    <x:mergeCell ref="A6:P6"/>
    <x:mergeCell ref="A7:P7"/>
    <x:mergeCell ref="E35:P35"/>
    <x:mergeCell ref="E37:P37"/>
    <x:mergeCell ref="E38:P38"/>
  </x:mergeCells>
  <x:conditionalFormatting sqref="I10:I33">
    <x:cfRule type="containsText" dxfId="0" priority="1" operator="containsText" text="완료"/>
  </x:conditionalFormatting>
  <x:conditionalFormatting sqref="P10:P33">
    <x:cfRule type="containsText" dxfId="1" priority="2" operator="containsText" text="기한 확인"/>
  </x:conditionalFormatting>
  <x:conditionalFormatting sqref="D10:E33">
    <x:cfRule type="expression" dxfId="2" priority="3">
      <x:formula>$D10="DA"</x:formula>
    </x:cfRule>
    <x:cfRule type="expression" dxfId="3" priority="4">
      <x:formula>$D10="RA"</x:formula>
    </x:cfRule>
    <x:cfRule type="expression" dxfId="4" priority="5">
      <x:formula>$D10="PA"</x:formula>
    </x:cfRule>
    <x:cfRule type="expression" dxfId="5" priority="6">
      <x:formula>$D10="HJ"</x:formula>
    </x:cfRule>
    <x:cfRule type="expression" dxfId="6" priority="7">
      <x:formula>$D10="All"</x:formula>
    </x:cfRule>
  </x:conditionalFormatting>
  <x:dataValidations count="3">
    <x:dataValidation type="list" sqref="F10:F33">
      <x:formula1>"기존 역할,기록 확인,제안"</x:formula1>
    </x:dataValidation>
    <x:dataValidation type="list" sqref="D10:D33">
      <x:formula1>"DA,RA,PA,HJ,All"</x:formula1>
    </x:dataValidation>
    <x:dataValidation type="list" sqref="I10:I33">
      <x:formula1>"계획,확인필요,진행중,작성/팀검토대기,완료,보류"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E29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5" hidden="0" customWidth="1"/>
    <x:col min="2" max="2" width="17.5" hidden="0" customWidth="1"/>
    <x:col min="3" max="3" width="42.5" hidden="0" customWidth="1"/>
    <x:col min="4" max="4" width="33.75" hidden="0" customWidth="1"/>
    <x:col min="5" max="5" width="14.380000114440918" hidden="0" customWidth="1"/>
    <x:col min="6" max="6" width="11.25" hidden="0" customWidth="1"/>
    <x:col min="7" max="7" width="10.630000114440918" hidden="0" customWidth="1"/>
    <x:col min="8" max="8" width="28.7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검증 항목과 평가지표</x:v>
      </x:c>
      <x:c r="B2" s="3"/>
      <x:c r="C2" s="3"/>
      <x:c r="D2" s="3"/>
      <x:c r="E2" s="3"/>
      <x:c r="F2" s="3"/>
      <x:c r="G2" s="3"/>
      <x:c r="H2" s="3"/>
    </x:row>
    <x:row r="3" ht="23" customHeight="1">
      <x:c r="A3" s="2" t="str">
        <x:v>분류 모델의 측정값은 아직 없습니다. 결과 입력칸은 비워 두고 측정 후 날짜·증빙과 함께 기록합니다.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3" customHeight="1">
      <x:c r="A5" s="9" t="str">
        <x:v>구분</x:v>
      </x:c>
      <x:c r="B5" s="9" t="str">
        <x:v>항목</x:v>
      </x:c>
      <x:c r="C5" s="9" t="str">
        <x:v>판단·측정 기준</x:v>
      </x:c>
      <x:c r="D5" s="9" t="str">
        <x:v>결과 입력</x:v>
      </x:c>
      <x:c r="E5" s="9" t="str">
        <x:v>상태</x:v>
      </x:c>
      <x:c r="F5" s="9" t="str">
        <x:v>담당 제안</x:v>
      </x:c>
      <x:c r="G5" s="9" t="str">
        <x:v>확인일</x:v>
      </x:c>
      <x:c r="H5" s="9" t="str">
        <x:v>증빙 입력</x:v>
      </x:c>
    </x:row>
    <x:row r="6" ht="43" customHeight="1">
      <x:c r="A6" s="11" t="str">
        <x:v>데이터</x:v>
      </x:c>
      <x:c r="B6" s="11" t="str">
        <x:v>결합 키·중복</x:v>
      </x:c>
      <x:c r="C6" s="11" t="str">
        <x:v>대여소×날짜×시간 단위와 중복 처리 확인</x:v>
      </x:c>
      <x:c r="D6" s="65"/>
      <x:c r="E6" s="11" t="str">
        <x:v>확인필요</x:v>
      </x:c>
      <x:c r="F6" s="11" t="str">
        <x:v>RA</x:v>
      </x:c>
      <x:c r="G6" s="66"/>
      <x:c r="H6" s="65"/>
    </x:row>
    <x:row r="7" ht="43" customHeight="1">
      <x:c r="A7" s="11" t="str">
        <x:v>데이터</x:v>
      </x:c>
      <x:c r="B7" s="11" t="str">
        <x:v>결측·누락 기간</x:v>
      </x:c>
      <x:c r="C7" s="11" t="str">
        <x:v>소스별 기간 및 결측 처리 원인 기록</x:v>
      </x:c>
      <x:c r="D7" s="65"/>
      <x:c r="E7" s="11" t="str">
        <x:v>확인필요</x:v>
      </x:c>
      <x:c r="F7" s="11" t="str">
        <x:v>All</x:v>
      </x:c>
      <x:c r="G7" s="66"/>
      <x:c r="H7" s="65"/>
    </x:row>
    <x:row r="8" ht="43" customHeight="1">
      <x:c r="A8" s="11" t="str">
        <x:v>목표값</x:v>
      </x:c>
      <x:c r="B8" s="11" t="str">
        <x:v>불균형 label</x:v>
      </x:c>
      <x:c r="C8" s="11" t="str">
        <x:v>부족·과잉 등 목표값과 예측 horizon 확정</x:v>
      </x:c>
      <x:c r="D8" s="65"/>
      <x:c r="E8" s="11" t="str">
        <x:v>미확정</x:v>
      </x:c>
      <x:c r="F8" s="11" t="str">
        <x:v>All</x:v>
      </x:c>
      <x:c r="G8" s="66"/>
      <x:c r="H8" s="65"/>
    </x:row>
    <x:row r="9" ht="43" customHeight="1">
      <x:c r="A9" s="11" t="str">
        <x:v>목표값</x:v>
      </x:c>
      <x:c r="B9" s="11" t="str">
        <x:v>클래스 분포</x:v>
      </x:c>
      <x:c r="C9" s="11" t="str">
        <x:v>학습·검증·시험 각각 클래스 건수와 비율</x:v>
      </x:c>
      <x:c r="D9" s="65"/>
      <x:c r="E9" s="11" t="str">
        <x:v>미측정</x:v>
      </x:c>
      <x:c r="F9" s="11" t="str">
        <x:v>All</x:v>
      </x:c>
      <x:c r="G9" s="66"/>
      <x:c r="H9" s="65"/>
    </x:row>
    <x:row r="10" ht="43" customHeight="1">
      <x:c r="A10" s="11" t="str">
        <x:v>검증설계</x:v>
      </x:c>
      <x:c r="B10" s="11" t="str">
        <x:v>시간순 데이터 분할</x:v>
      </x:c>
      <x:c r="C10" s="11" t="str">
        <x:v>학습 이후 검증·시험 순서, 미래 정보 배제</x:v>
      </x:c>
      <x:c r="D10" s="65"/>
      <x:c r="E10" s="11" t="str">
        <x:v>확인필요</x:v>
      </x:c>
      <x:c r="F10" s="11" t="str">
        <x:v>All</x:v>
      </x:c>
      <x:c r="G10" s="66"/>
      <x:c r="H10" s="65"/>
    </x:row>
    <x:row r="11" ht="43" customHeight="1">
      <x:c r="A11" s="11" t="str">
        <x:v>성능</x:v>
      </x:c>
      <x:c r="B11" s="11" t="str">
        <x:v>PR-AUC(확장 검토)</x:v>
      </x:c>
      <x:c r="C11" s="11" t="str">
        <x:v>수업 외 지표. 양성 클래스·시험 구간 명시</x:v>
      </x:c>
      <x:c r="D11" s="67"/>
      <x:c r="E11" s="11" t="str">
        <x:v>미측정</x:v>
      </x:c>
      <x:c r="F11" s="11" t="str">
        <x:v>All</x:v>
      </x:c>
      <x:c r="G11" s="66"/>
      <x:c r="H11" s="65"/>
    </x:row>
    <x:row r="12" ht="43" customHeight="1">
      <x:c r="A12" s="11" t="str">
        <x:v>성능</x:v>
      </x:c>
      <x:c r="B12" s="11" t="str">
        <x:v>F1</x:v>
      </x:c>
      <x:c r="C12" s="11" t="str">
        <x:v>임계값·클래스별 및 macro/weighted 구분</x:v>
      </x:c>
      <x:c r="D12" s="67"/>
      <x:c r="E12" s="11" t="str">
        <x:v>미측정</x:v>
      </x:c>
      <x:c r="F12" s="11" t="str">
        <x:v>All</x:v>
      </x:c>
      <x:c r="G12" s="66"/>
      <x:c r="H12" s="65"/>
    </x:row>
    <x:row r="13" ht="43" customHeight="1">
      <x:c r="A13" s="11" t="str">
        <x:v>성능</x:v>
      </x:c>
      <x:c r="B13" s="11" t="str">
        <x:v>ROC-AUC</x:v>
      </x:c>
      <x:c r="C13" s="11" t="str">
        <x:v>양성 클래스 또는 다중 클래스 계산법 명시</x:v>
      </x:c>
      <x:c r="D13" s="67"/>
      <x:c r="E13" s="11" t="str">
        <x:v>미측정</x:v>
      </x:c>
      <x:c r="F13" s="11" t="str">
        <x:v>All</x:v>
      </x:c>
      <x:c r="G13" s="66"/>
      <x:c r="H13" s="65"/>
    </x:row>
    <x:row r="14" ht="43" customHeight="1">
      <x:c r="A14" s="11" t="str">
        <x:v>성능</x:v>
      </x:c>
      <x:c r="B14" s="11" t="str">
        <x:v>Recall</x:v>
      </x:c>
      <x:c r="C14" s="11" t="str">
        <x:v>부족 위험 등 핵심 클래스의 누락 확인</x:v>
      </x:c>
      <x:c r="D14" s="67"/>
      <x:c r="E14" s="11" t="str">
        <x:v>미측정</x:v>
      </x:c>
      <x:c r="F14" s="11" t="str">
        <x:v>All</x:v>
      </x:c>
      <x:c r="G14" s="66"/>
      <x:c r="H14" s="65"/>
    </x:row>
    <x:row r="15" ht="43" customHeight="1">
      <x:c r="A15" s="11" t="str">
        <x:v>성능</x:v>
      </x:c>
      <x:c r="B15" s="11" t="str">
        <x:v>혼동행렬</x:v>
      </x:c>
      <x:c r="C15" s="11" t="str">
        <x:v>각 클래스의 실제값·예측값 건수 비교</x:v>
      </x:c>
      <x:c r="D15" s="65"/>
      <x:c r="E15" s="11" t="str">
        <x:v>미측정</x:v>
      </x:c>
      <x:c r="F15" s="11" t="str">
        <x:v>All</x:v>
      </x:c>
      <x:c r="G15" s="66"/>
      <x:c r="H15" s="65"/>
    </x:row>
    <x:row r="16" ht="43" customHeight="1">
      <x:c r="A16" s="11" t="str">
        <x:v>서비스</x:v>
      </x:c>
      <x:c r="B16" s="11" t="str">
        <x:v>모델 연동</x:v>
      </x:c>
      <x:c r="C16" s="11" t="str">
        <x:v>실제 모델 결과·입출력·예외처리 점검</x:v>
      </x:c>
      <x:c r="D16" s="65"/>
      <x:c r="E16" s="11" t="str">
        <x:v>확인필요</x:v>
      </x:c>
      <x:c r="F16" s="11" t="str">
        <x:v>HJ</x:v>
      </x:c>
      <x:c r="G16" s="66"/>
      <x:c r="H16" s="65"/>
    </x:row>
    <x:row r="17" ht="43" customHeight="1">
      <x:c r="A17" s="11" t="str">
        <x:v>발표</x:v>
      </x:c>
      <x:c r="B17" s="11" t="str">
        <x:v>수치·역할·데모</x:v>
      </x:c>
      <x:c r="C17" s="11" t="str">
        <x:v>출처, 한계, 담당 배정 및 시연 확인</x:v>
      </x:c>
      <x:c r="D17" s="65"/>
      <x:c r="E17" s="11" t="str">
        <x:v>팀검토대기</x:v>
      </x:c>
      <x:c r="F17" s="11" t="str">
        <x:v>All</x:v>
      </x:c>
      <x:c r="G17" s="66"/>
      <x:c r="H17" s="65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6" customHeight="1">
      <x:c r="A20" s="54" t="str">
        <x:v>기존 자치구 EDA 결과</x:v>
      </x:c>
      <x:c r="B20" s="54"/>
      <x:c r="C20" s="54"/>
      <x:c r="D20" s="54"/>
      <x:c r="E20" s="54"/>
      <x:c r="F20" s="54"/>
      <x:c r="G20" s="54"/>
      <x:c r="H20" s="54"/>
    </x:row>
    <x:row r="21" ht="23" customHeight="1">
      <x:c r="A21" s="2" t="str">
        <x:v>대여소 불균형 분류의 성능이 아닙니다. 아래는 10/2 자치구·일별 이용량 분석에서 확인된 값입니다.</x:v>
      </x:c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9" t="str">
        <x:v>항목</x:v>
      </x:c>
      <x:c r="B23" s="9" t="str">
        <x:v>측정값</x:v>
      </x:c>
      <x:c r="C23" s="9" t="str">
        <x:v>단위·해석</x:v>
      </x:c>
      <x:c r="D23" s="9" t="str">
        <x:v>근거</x:v>
      </x:c>
      <x:c r="E23" s="2"/>
      <x:c r="F23" s="2"/>
      <x:c r="G23" s="2"/>
      <x:c r="H23" s="2"/>
    </x:row>
    <x:row r="24" ht="40" customHeight="1">
      <x:c r="A24" s="11" t="str">
        <x:v>분석 대여건수</x:v>
      </x:c>
      <x:c r="B24" s="68" t="n">
        <x:v>84333039</x:v>
      </x:c>
      <x:c r="C24" s="11" t="str">
        <x:v>2023~2025년 최종 전처리 이력</x:v>
      </x:c>
      <x:c r="D24" s="11" t="str">
        <x:v>핵심결과.json / trips</x:v>
      </x:c>
      <x:c r="E24" s="2"/>
      <x:c r="F24" s="2"/>
      <x:c r="G24" s="2"/>
      <x:c r="H24" s="2"/>
    </x:row>
    <x:row r="25" ht="40" customHeight="1">
      <x:c r="A25" s="11" t="str">
        <x:v>분석 일수</x:v>
      </x:c>
      <x:c r="B25" s="68" t="n">
        <x:v>1096</x:v>
      </x:c>
      <x:c r="C25" s="11" t="str">
        <x:v>일</x:v>
      </x:c>
      <x:c r="D25" s="11" t="str">
        <x:v>핵심결과.json / days</x:v>
      </x:c>
      <x:c r="E25" s="2"/>
      <x:c r="F25" s="2"/>
      <x:c r="G25" s="2"/>
      <x:c r="H25" s="2"/>
    </x:row>
    <x:row r="26" ht="40" customHeight="1">
      <x:c r="A26" s="11" t="str">
        <x:v>K-Means 군집 수</x:v>
      </x:c>
      <x:c r="B26" s="68" t="n">
        <x:v>2</x:v>
      </x:c>
      <x:c r="C26" s="11" t="str">
        <x:v>탐색적 자치구 패턴 분류</x:v>
      </x:c>
      <x:c r="D26" s="11" t="str">
        <x:v>핵심결과.json / best_k</x:v>
      </x:c>
      <x:c r="E26" s="2"/>
      <x:c r="F26" s="2"/>
      <x:c r="G26" s="2"/>
      <x:c r="H26" s="2"/>
    </x:row>
    <x:row r="27" ht="40" customHeight="1">
      <x:c r="A27" s="11" t="str">
        <x:v>실루엣 점수</x:v>
      </x:c>
      <x:c r="B27" s="69" t="n">
        <x:v>0.640722411696131</x:v>
      </x:c>
      <x:c r="C27" s="11" t="str">
        <x:v>군집 평가</x:v>
      </x:c>
      <x:c r="D27" s="11" t="str">
        <x:v>핵심결과.json / silhouette</x:v>
      </x:c>
      <x:c r="E27" s="2"/>
      <x:c r="F27" s="2"/>
      <x:c r="G27" s="2"/>
      <x:c r="H27" s="2"/>
    </x:row>
    <x:row r="28" ht="40" customHeight="1">
      <x:c r="A28" s="11" t="str">
        <x:v>자치구별 OLS MAE</x:v>
      </x:c>
      <x:c r="B28" s="70" t="n">
        <x:v>641.0503014381286</x:v>
      </x:c>
      <x:c r="C28" s="11" t="str">
        <x:v>건/구/일, 2025 시험 구간</x:v>
      </x:c>
      <x:c r="D28" s="11" t="str">
        <x:v>핵심결과.json / test_mae</x:v>
      </x:c>
      <x:c r="E28" s="2"/>
      <x:c r="F28" s="2"/>
      <x:c r="G28" s="2"/>
      <x:c r="H28" s="2"/>
    </x:row>
    <x:row r="29" ht="40" customHeight="1">
      <x:c r="A29" s="11" t="str">
        <x:v>요일평균 기준선 MAE</x:v>
      </x:c>
      <x:c r="B29" s="70" t="n">
        <x:v>989.9589504942547</x:v>
      </x:c>
      <x:c r="C29" s="11" t="str">
        <x:v>건/구/일, 2025 시험 구간</x:v>
      </x:c>
      <x:c r="D29" s="11" t="str">
        <x:v>핵심결과.json / baseline_mae</x:v>
      </x:c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 t="str">
        <x:v>미측정은 0점이 아닙니다. 분류 지표는 label·양성 클래스·분할·임계값을 확정한 뒤 입력합니다.</x:v>
      </x:c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</x:sheetData>
  <x:mergeCells>
    <x:mergeCell ref="A2:H2"/>
    <x:mergeCell ref="A3:H3"/>
    <x:mergeCell ref="A20:H20"/>
    <x:mergeCell ref="A21:H21"/>
    <x:mergeCell ref="A32:H32"/>
  </x:mergeCells>
  <x:dataValidations count="1">
    <x:dataValidation type="list" sqref="E6:E17">
      <x:formula1>"확인필요,미확정,미측정,팀검토대기,확인완료"</x:formula1>
    </x:dataValidation>
  </x:dataValidations>
  <x:pageMargins left="0.7" right="0.7" top="0.75" bottom="0.75" header="0.3" footer="0.3"/>
</x:worksheet>
</file>